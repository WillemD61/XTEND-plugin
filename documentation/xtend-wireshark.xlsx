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D535DA65-6D98-462D-B66D-0D3AECB7957A}" xr6:coauthVersionLast="47" xr6:coauthVersionMax="47" xr10:uidLastSave="{00000000-0000-0000-0000-000000000000}"/>
  <bookViews>
    <workbookView xWindow="-110" yWindow="-110" windowWidth="21820" windowHeight="13900" activeTab="1" xr2:uid="{47B0696F-8AD2-4CDE-81F4-138133C1BBC6}"/>
  </bookViews>
  <sheets>
    <sheet name="HA integration codes" sheetId="2" r:id="rId1"/>
    <sheet name="XTEND screens" sheetId="1" r:id="rId2"/>
    <sheet name="PLUGIN devices" sheetId="5" r:id="rId3"/>
  </sheets>
  <definedNames>
    <definedName name="_xlnm._FilterDatabase" localSheetId="0" hidden="1">'HA integration codes'!$A$1:$F$282</definedName>
    <definedName name="_xlnm._FilterDatabase" localSheetId="1" hidden="1">'XTEND screens'!$A$3:$F$102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6" i="1" l="1"/>
  <c r="E8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8" i="1"/>
  <c r="E89" i="1"/>
  <c r="E90" i="1"/>
  <c r="E91" i="1"/>
  <c r="E92" i="1"/>
  <c r="E93" i="1"/>
  <c r="E94" i="1"/>
  <c r="E95" i="1"/>
  <c r="E96" i="1"/>
  <c r="E97" i="1"/>
  <c r="E98" i="1"/>
  <c r="E99" i="1"/>
  <c r="E4" i="1"/>
  <c r="C54" i="5"/>
  <c r="C5" i="5"/>
  <c r="C3" i="5"/>
  <c r="C4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2" i="5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4" i="1"/>
</calcChain>
</file>

<file path=xl/sharedStrings.xml><?xml version="1.0" encoding="utf-8"?>
<sst xmlns="http://schemas.openxmlformats.org/spreadsheetml/2006/main" count="1565" uniqueCount="844">
  <si>
    <t>79b3</t>
  </si>
  <si>
    <t>7e2c</t>
  </si>
  <si>
    <t>77c3</t>
  </si>
  <si>
    <t>77d2</t>
  </si>
  <si>
    <t>f9f2</t>
  </si>
  <si>
    <t>7ed3</t>
  </si>
  <si>
    <t>629c</t>
  </si>
  <si>
    <t>621d</t>
  </si>
  <si>
    <t>62ed</t>
  </si>
  <si>
    <t>503e</t>
  </si>
  <si>
    <t>50f2</t>
  </si>
  <si>
    <t>62d1</t>
  </si>
  <si>
    <t>620f</t>
  </si>
  <si>
    <t>7e7a</t>
  </si>
  <si>
    <t>77de</t>
  </si>
  <si>
    <t>61ba</t>
  </si>
  <si>
    <t>61eb</t>
  </si>
  <si>
    <t>610b</t>
  </si>
  <si>
    <t>7921</t>
  </si>
  <si>
    <t>7e51</t>
  </si>
  <si>
    <t>6280</t>
  </si>
  <si>
    <t>5088</t>
  </si>
  <si>
    <t>5077</t>
  </si>
  <si>
    <t>5041</t>
  </si>
  <si>
    <t>6206</t>
  </si>
  <si>
    <t>8439</t>
  </si>
  <si>
    <t>47e0</t>
  </si>
  <si>
    <t>7774</t>
  </si>
  <si>
    <t>6115</t>
  </si>
  <si>
    <t>6101</t>
  </si>
  <si>
    <t>6117</t>
  </si>
  <si>
    <t>7940</t>
  </si>
  <si>
    <t>50ae</t>
  </si>
  <si>
    <t>50f7</t>
  </si>
  <si>
    <t>5099</t>
  </si>
  <si>
    <t>506a</t>
  </si>
  <si>
    <t>63f0</t>
  </si>
  <si>
    <t>63b3</t>
  </si>
  <si>
    <t>63df</t>
  </si>
  <si>
    <t>6a8e</t>
  </si>
  <si>
    <t>6ac5</t>
  </si>
  <si>
    <t>6a6c</t>
  </si>
  <si>
    <t>71a7</t>
  </si>
  <si>
    <t>7160</t>
  </si>
  <si>
    <t>6a53</t>
  </si>
  <si>
    <t>6a8d</t>
  </si>
  <si>
    <t>8e00</t>
  </si>
  <si>
    <t>8ef9</t>
  </si>
  <si>
    <t>8e37</t>
  </si>
  <si>
    <t>8e18</t>
  </si>
  <si>
    <t>65b0</t>
  </si>
  <si>
    <t>6579</t>
  </si>
  <si>
    <t>62e7</t>
  </si>
  <si>
    <t>7767</t>
  </si>
  <si>
    <t>65d9</t>
  </si>
  <si>
    <t>6505</t>
  </si>
  <si>
    <t>65c1</t>
  </si>
  <si>
    <t>6cfb</t>
  </si>
  <si>
    <t>6c33</t>
  </si>
  <si>
    <t>65a7</t>
  </si>
  <si>
    <t>658a</t>
  </si>
  <si>
    <t>6c8a</t>
  </si>
  <si>
    <t>6c61</t>
  </si>
  <si>
    <t>65d0</t>
  </si>
  <si>
    <t>6c66</t>
  </si>
  <si>
    <t>b28c</t>
  </si>
  <si>
    <t>b2bc</t>
  </si>
  <si>
    <t>84d1</t>
  </si>
  <si>
    <t>6c53</t>
  </si>
  <si>
    <t>6c26</t>
  </si>
  <si>
    <t>6ceb</t>
  </si>
  <si>
    <t>7ee6</t>
  </si>
  <si>
    <t>4e3a</t>
  </si>
  <si>
    <t>4eeb</t>
  </si>
  <si>
    <t>4a22</t>
  </si>
  <si>
    <t>4a3c</t>
  </si>
  <si>
    <t>4aeb</t>
  </si>
  <si>
    <t>63a7</t>
  </si>
  <si>
    <t>6a28</t>
  </si>
  <si>
    <t>6a78</t>
  </si>
  <si>
    <t>503f</t>
  </si>
  <si>
    <t>4a76</t>
  </si>
  <si>
    <t>50ff</t>
  </si>
  <si>
    <t>6578</t>
  </si>
  <si>
    <t>4133</t>
  </si>
  <si>
    <t>7e81</t>
  </si>
  <si>
    <t>7e31</t>
  </si>
  <si>
    <t>4e13</t>
  </si>
  <si>
    <t>5008</t>
  </si>
  <si>
    <t>5051</t>
  </si>
  <si>
    <t>63e4</t>
  </si>
  <si>
    <t>2963</t>
  </si>
  <si>
    <t>6358</t>
  </si>
  <si>
    <t>5031</t>
  </si>
  <si>
    <t>6339</t>
  </si>
  <si>
    <t>5098</t>
  </si>
  <si>
    <t>status_9_errorCode</t>
  </si>
  <si>
    <t>uint16</t>
  </si>
  <si>
    <t>0</t>
  </si>
  <si>
    <t>4167</t>
  </si>
  <si>
    <t>status_9_controlFlags</t>
  </si>
  <si>
    <t>50432</t>
  </si>
  <si>
    <t>41a2</t>
  </si>
  <si>
    <t>status_9_lastError_0</t>
  </si>
  <si>
    <t>41a3</t>
  </si>
  <si>
    <t>status_9_extErrorCode</t>
  </si>
  <si>
    <t>41a5</t>
  </si>
  <si>
    <t>status_9_lastError_1</t>
  </si>
  <si>
    <t>41ab</t>
  </si>
  <si>
    <t>status_9_lastError_3</t>
  </si>
  <si>
    <t>41ac</t>
  </si>
  <si>
    <t>status_9_lastError_2</t>
  </si>
  <si>
    <t>41be</t>
  </si>
  <si>
    <t>status_9_lastError_4</t>
  </si>
  <si>
    <t>41d7</t>
  </si>
  <si>
    <t>status_9_extPrevErrorCode</t>
  </si>
  <si>
    <t>41e2</t>
  </si>
  <si>
    <t>status_9_extError_status_2</t>
  </si>
  <si>
    <t>53080</t>
  </si>
  <si>
    <t>41e5</t>
  </si>
  <si>
    <t>status_9_extError_status_3</t>
  </si>
  <si>
    <t>10617</t>
  </si>
  <si>
    <t>41eb</t>
  </si>
  <si>
    <t>status_9_extError_status_1</t>
  </si>
  <si>
    <t>23623</t>
  </si>
  <si>
    <t>41ec</t>
  </si>
  <si>
    <t>status_9_extError_status_0</t>
  </si>
  <si>
    <t>56005</t>
  </si>
  <si>
    <t>41f0</t>
  </si>
  <si>
    <t>status_9_extError_status_4</t>
  </si>
  <si>
    <t>60857</t>
  </si>
  <si>
    <t>41f7</t>
  </si>
  <si>
    <t>status_9_extError_status_5</t>
  </si>
  <si>
    <t>8</t>
  </si>
  <si>
    <t>4625</t>
  </si>
  <si>
    <t>status_8_compressorLimit_max</t>
  </si>
  <si>
    <t>int16</t>
  </si>
  <si>
    <t>unit.hertz</t>
  </si>
  <si>
    <t>4638</t>
  </si>
  <si>
    <t>status_8_temperatureHysteresis_off</t>
  </si>
  <si>
    <t>unit.degrees_celcius</t>
  </si>
  <si>
    <t>4641</t>
  </si>
  <si>
    <t>status_8_temperatureSetpoint_Cooling</t>
  </si>
  <si>
    <t>4645</t>
  </si>
  <si>
    <t>status_8_fanLimit_max</t>
  </si>
  <si>
    <t>unit.rounds_per_minute</t>
  </si>
  <si>
    <t>4655</t>
  </si>
  <si>
    <t>status_8_temperatureSetpoint_Heating</t>
  </si>
  <si>
    <t>4656</t>
  </si>
  <si>
    <t>status_8_temperatureHysteresis_on</t>
  </si>
  <si>
    <t>468f</t>
  </si>
  <si>
    <t>status_8_fanLimit_min</t>
  </si>
  <si>
    <t>46c0</t>
  </si>
  <si>
    <t>status_8_temperatureSetpoint_DHW</t>
  </si>
  <si>
    <t>46ce</t>
  </si>
  <si>
    <t>status_8_manualCompressorSpeed</t>
  </si>
  <si>
    <t>46ef</t>
  </si>
  <si>
    <t>status_8_compressorLimit_min</t>
  </si>
  <si>
    <t>46f6</t>
  </si>
  <si>
    <t>status_8_powerOn</t>
  </si>
  <si>
    <t>uint8</t>
  </si>
  <si>
    <t>1</t>
  </si>
  <si>
    <t>473d</t>
  </si>
  <si>
    <t>CPUinfo_checksum</t>
  </si>
  <si>
    <t>bytes</t>
  </si>
  <si>
    <t>P</t>
  </si>
  <si>
    <t>47b0</t>
  </si>
  <si>
    <t>CPUinfo_date_code</t>
  </si>
  <si>
    <t>P240516*</t>
  </si>
  <si>
    <t>47b1</t>
  </si>
  <si>
    <t>CPUinfo_crc</t>
  </si>
  <si>
    <t>o</t>
  </si>
  <si>
    <t>t</t>
  </si>
  <si>
    <t>47da</t>
  </si>
  <si>
    <t>CPUinfo_software_name</t>
  </si>
  <si>
    <t>hbcumk1</t>
  </si>
  <si>
    <t>*</t>
  </si>
  <si>
    <t>CPUinfo_software_version</t>
  </si>
  <si>
    <t>V0.60-</t>
  </si>
  <si>
    <t>status_S_energyThermalCoolingPrevDay</t>
  </si>
  <si>
    <t>unit.kWh</t>
  </si>
  <si>
    <t>status_S_copDhwPrevDay</t>
  </si>
  <si>
    <t>0.1</t>
  </si>
  <si>
    <t>status_S_currentHpPowerThermal</t>
  </si>
  <si>
    <t>unit.kilowatt</t>
  </si>
  <si>
    <t>status_S_energyElectricCoolingPrevDay</t>
  </si>
  <si>
    <t>status_S_currentCop</t>
  </si>
  <si>
    <t>status_S_copCoolingPrevDay</t>
  </si>
  <si>
    <t>status_S_energyThermalBoilerPrevDay</t>
  </si>
  <si>
    <t>status_S_currentPowerThermal</t>
  </si>
  <si>
    <t>status_S_currentBoilerPowerThermal</t>
  </si>
  <si>
    <t>5092</t>
  </si>
  <si>
    <t>status_S_currentDhwPowerThermal</t>
  </si>
  <si>
    <t>status_S_energyThermalDhwPrevDay</t>
  </si>
  <si>
    <t>status_S_energyElectricHeatingPrevDay</t>
  </si>
  <si>
    <t>status_S_energyThermalHeatingPrevDay</t>
  </si>
  <si>
    <t>status_S_currentPowerElectric</t>
  </si>
  <si>
    <t>status_S_copHeatingPrevDay</t>
  </si>
  <si>
    <t>status_S_energyElectricDhwPrevDay</t>
  </si>
  <si>
    <t>status_4_tTempAux2</t>
  </si>
  <si>
    <t>status_4_tTempAux1</t>
  </si>
  <si>
    <t>status_4_tSystemSupply</t>
  </si>
  <si>
    <t>622b</t>
  </si>
  <si>
    <t>status_4_sPumpDhw</t>
  </si>
  <si>
    <t>unit.percent</t>
  </si>
  <si>
    <t>623c</t>
  </si>
  <si>
    <t>status_4_tBoilerReturn</t>
  </si>
  <si>
    <t>6256</t>
  </si>
  <si>
    <t>status_4_tDhwCold</t>
  </si>
  <si>
    <t>625b</t>
  </si>
  <si>
    <t>status_4_tBoilerSupply</t>
  </si>
  <si>
    <t>6269</t>
  </si>
  <si>
    <t>status_4_tDhwHot</t>
  </si>
  <si>
    <t>status_4_tHpReturn</t>
  </si>
  <si>
    <t>628d</t>
  </si>
  <si>
    <t>status_4_tDhwPreheat</t>
  </si>
  <si>
    <t>6290</t>
  </si>
  <si>
    <t>status_4_fDhw</t>
  </si>
  <si>
    <t>unit.liters_per_minute</t>
  </si>
  <si>
    <t>status_4_fSystem</t>
  </si>
  <si>
    <t>62cb</t>
  </si>
  <si>
    <t>status_4_sPumpCh</t>
  </si>
  <si>
    <t>status_4_tOutdoor</t>
  </si>
  <si>
    <t>status_4_tHpSupply</t>
  </si>
  <si>
    <t>status_4_tTempSet</t>
  </si>
  <si>
    <t>631a</t>
  </si>
  <si>
    <t>statistics_6_operationBoilerHours</t>
  </si>
  <si>
    <t>uint24</t>
  </si>
  <si>
    <t>unit.hours</t>
  </si>
  <si>
    <t>statistics_6_thermalEnergyDHW</t>
  </si>
  <si>
    <t>statistics_6_electricEnergyDHW</t>
  </si>
  <si>
    <t>statistics_6_electricEnergyCooling</t>
  </si>
  <si>
    <t>63ae</t>
  </si>
  <si>
    <t>statistics_6_startBoilerCounter</t>
  </si>
  <si>
    <t>statistics_6_electricEnergyHeating</t>
  </si>
  <si>
    <t>statistics_6_thermalEnergyBoiler</t>
  </si>
  <si>
    <t>statistics_6_thermalEnergyCooling</t>
  </si>
  <si>
    <t>statistics_6_thermalEnergyHeating</t>
  </si>
  <si>
    <t>status_5_suctionTemperature</t>
  </si>
  <si>
    <t>651d</t>
  </si>
  <si>
    <t>status_5_faultCode</t>
  </si>
  <si>
    <t>655c</t>
  </si>
  <si>
    <t>status_5_inletWaterTemperature</t>
  </si>
  <si>
    <t>656b</t>
  </si>
  <si>
    <t>status_5_flags</t>
  </si>
  <si>
    <t>3</t>
  </si>
  <si>
    <t>6573</t>
  </si>
  <si>
    <t>status_5_ambientTemperature</t>
  </si>
  <si>
    <t>status_5_workingMode</t>
  </si>
  <si>
    <t>status_5_suctionPressure</t>
  </si>
  <si>
    <t>unit.bars</t>
  </si>
  <si>
    <t>657a</t>
  </si>
  <si>
    <t>status_5_phaseCurrent</t>
  </si>
  <si>
    <t>unit.ampere</t>
  </si>
  <si>
    <t>657e</t>
  </si>
  <si>
    <t>status_5_operationMode</t>
  </si>
  <si>
    <t>254</t>
  </si>
  <si>
    <t>status_5_frequencySetpoint</t>
  </si>
  <si>
    <t>status_5_actualFrequency</t>
  </si>
  <si>
    <t>status_5_exhaustPressure</t>
  </si>
  <si>
    <t>65b9</t>
  </si>
  <si>
    <t>status_5_digitalIn</t>
  </si>
  <si>
    <t>status_5_coilTemperature</t>
  </si>
  <si>
    <t>status_5_digitalOut</t>
  </si>
  <si>
    <t>65d2</t>
  </si>
  <si>
    <t>status_5_outletWaterTemperature</t>
  </si>
  <si>
    <t>status_5_exhaustTemperature</t>
  </si>
  <si>
    <t>6a01</t>
  </si>
  <si>
    <t>statistics_5_otStatsBoilerBurnerCHHours</t>
  </si>
  <si>
    <t>statistics_5_startCoolingCounter</t>
  </si>
  <si>
    <t>statistics_5_startDefrostCounter</t>
  </si>
  <si>
    <t>statistics_5_operationDhwHours</t>
  </si>
  <si>
    <t>statistics_5_operationCoolingHours</t>
  </si>
  <si>
    <t>statistics_5_startDhwCounter</t>
  </si>
  <si>
    <t>statistics_5_startHeatingCounter</t>
  </si>
  <si>
    <t>6</t>
  </si>
  <si>
    <t>6a9b</t>
  </si>
  <si>
    <t>statistics_5_otStatsBoilerBurnerDHWHours</t>
  </si>
  <si>
    <t>6abd</t>
  </si>
  <si>
    <t>statistics_5_otStatsBoilerBurnerStarts</t>
  </si>
  <si>
    <t>34102</t>
  </si>
  <si>
    <t>statistics_5_operationHeatingHours</t>
  </si>
  <si>
    <t>6b07</t>
  </si>
  <si>
    <t>status_7_fanLimit_min</t>
  </si>
  <si>
    <t>6b3b</t>
  </si>
  <si>
    <t>status_7_manualCompressorSpeed</t>
  </si>
  <si>
    <t>6b45</t>
  </si>
  <si>
    <t>status_7_compressorLimit_max</t>
  </si>
  <si>
    <t>6b5f</t>
  </si>
  <si>
    <t>status_7_powerOn</t>
  </si>
  <si>
    <t>6b75</t>
  </si>
  <si>
    <t>status_7_temperatureHysteresis_off</t>
  </si>
  <si>
    <t>6b8f</t>
  </si>
  <si>
    <t>status_7_compressorLimit_min</t>
  </si>
  <si>
    <t>6b95</t>
  </si>
  <si>
    <t>status_7_temperatureSetpoint_DHW</t>
  </si>
  <si>
    <t>6bcd</t>
  </si>
  <si>
    <t>status_7_fanLimit_max</t>
  </si>
  <si>
    <t>6be7</t>
  </si>
  <si>
    <t>status_7_temperatureSetpoint_Heating</t>
  </si>
  <si>
    <t>6bf3</t>
  </si>
  <si>
    <t>status_7_temperatureSetpoint_Cooling</t>
  </si>
  <si>
    <t>6bfa</t>
  </si>
  <si>
    <t>status_7_temperatureHysteresis_on</t>
  </si>
  <si>
    <t>6c00</t>
  </si>
  <si>
    <t>status_6_ACInputCurrent</t>
  </si>
  <si>
    <t>status_6_temperatureCondensor_refrigrerant_gas</t>
  </si>
  <si>
    <t>6c27</t>
  </si>
  <si>
    <t>status_6_DigInOpenthermIDU</t>
  </si>
  <si>
    <t>status_6_exhaustOverheat</t>
  </si>
  <si>
    <t>6c35</t>
  </si>
  <si>
    <t>status_6_DigInIDU</t>
  </si>
  <si>
    <t>status_6_temperatureSubcooling</t>
  </si>
  <si>
    <t>status_6_fanspeedSetpoint</t>
  </si>
  <si>
    <t>status_6_EEVSteps</t>
  </si>
  <si>
    <t>unit.steps</t>
  </si>
  <si>
    <t>status_6_actualFan1Speed</t>
  </si>
  <si>
    <t>6c8b</t>
  </si>
  <si>
    <t>status_6_AuxOutIDU</t>
  </si>
  <si>
    <t>6c8f</t>
  </si>
  <si>
    <t>status_6_ACInputVoltage</t>
  </si>
  <si>
    <t>unit.voltage</t>
  </si>
  <si>
    <t>6caf</t>
  </si>
  <si>
    <t>status_6_ZTV_input</t>
  </si>
  <si>
    <t>6cd1</t>
  </si>
  <si>
    <t>status_6_IPM_PIMactualTemp</t>
  </si>
  <si>
    <t>6ce8</t>
  </si>
  <si>
    <t>status_6_digitalOutIDU</t>
  </si>
  <si>
    <t>status_6_temperatureCondensor_refrigrerant_liquid</t>
  </si>
  <si>
    <t>6cf1</t>
  </si>
  <si>
    <t>status_6_actualFan2Speed</t>
  </si>
  <si>
    <t>status_6_suctionOverheat</t>
  </si>
  <si>
    <t>6cfc</t>
  </si>
  <si>
    <t>status_6_busVoltage</t>
  </si>
  <si>
    <t>701b</t>
  </si>
  <si>
    <t>status_2_pump_speed</t>
  </si>
  <si>
    <t>701e</t>
  </si>
  <si>
    <t>status_2_fan_set</t>
  </si>
  <si>
    <t>702b</t>
  </si>
  <si>
    <t>status_2_fan_torque</t>
  </si>
  <si>
    <t>7073</t>
  </si>
  <si>
    <t>status_2_temp_he1</t>
  </si>
  <si>
    <t>707a</t>
  </si>
  <si>
    <t>status_2_temp_he2</t>
  </si>
  <si>
    <t>707e</t>
  </si>
  <si>
    <t>status_2_pump_set</t>
  </si>
  <si>
    <t>709a</t>
  </si>
  <si>
    <t>status_2_pump_bridge_temperature</t>
  </si>
  <si>
    <t>70a3</t>
  </si>
  <si>
    <t>status_2_stepper_pos</t>
  </si>
  <si>
    <t>70ce</t>
  </si>
  <si>
    <t>status_2_bus_voltage</t>
  </si>
  <si>
    <t>70cf</t>
  </si>
  <si>
    <t>status_2_stepper_pos_set</t>
  </si>
  <si>
    <t>70db</t>
  </si>
  <si>
    <t>status_2_fan_bridge_temperature</t>
  </si>
  <si>
    <t>70ec</t>
  </si>
  <si>
    <t>status_2_pump_flow</t>
  </si>
  <si>
    <t>unit.liters_per_hour</t>
  </si>
  <si>
    <t>70ee</t>
  </si>
  <si>
    <t>status_2_fan_speed</t>
  </si>
  <si>
    <t>7105</t>
  </si>
  <si>
    <t>statistics_0_water_meter_MSB</t>
  </si>
  <si>
    <t>712c</t>
  </si>
  <si>
    <t>statistics_0_ignition_not_successful</t>
  </si>
  <si>
    <t>7153</t>
  </si>
  <si>
    <t>statistics_0_water_meter</t>
  </si>
  <si>
    <t>unit.cubic_meter</t>
  </si>
  <si>
    <t>715c</t>
  </si>
  <si>
    <t>statistics_0_ignition_successful_MSB</t>
  </si>
  <si>
    <t>715e</t>
  </si>
  <si>
    <t>statistics_0_poweron_hours_MSB</t>
  </si>
  <si>
    <t>statistics_0_poweron_number</t>
  </si>
  <si>
    <t>5</t>
  </si>
  <si>
    <t>7162</t>
  </si>
  <si>
    <t>statistics_0_reset_number</t>
  </si>
  <si>
    <t>7169</t>
  </si>
  <si>
    <t>statistics_0_ignition_successful_dhw_MSB</t>
  </si>
  <si>
    <t>7191</t>
  </si>
  <si>
    <t>statistics_0_gas_meter_ch</t>
  </si>
  <si>
    <t>uint32</t>
  </si>
  <si>
    <t>7195</t>
  </si>
  <si>
    <t>statistics_0_flame_loss</t>
  </si>
  <si>
    <t>statistics_0_poweron_hours</t>
  </si>
  <si>
    <t>71aa</t>
  </si>
  <si>
    <t>statistics_0_gas_meter_dhw</t>
  </si>
  <si>
    <t>71b7</t>
  </si>
  <si>
    <t>statistics_0_ch_hours</t>
  </si>
  <si>
    <t>71c0</t>
  </si>
  <si>
    <t>statistics_0_ignition_successful_dhw</t>
  </si>
  <si>
    <t>71da</t>
  </si>
  <si>
    <t>statistics_0_dhw_hours</t>
  </si>
  <si>
    <t>71fa</t>
  </si>
  <si>
    <t>statistics_0_ignition_successful</t>
  </si>
  <si>
    <t>761c</t>
  </si>
  <si>
    <t>statistics_1_maintenance_days</t>
  </si>
  <si>
    <t>unit.days</t>
  </si>
  <si>
    <t>761e</t>
  </si>
  <si>
    <t>statistics_1_maintenance_reset_counter</t>
  </si>
  <si>
    <t>766d</t>
  </si>
  <si>
    <t>statistics_1_clv_protection_cntr</t>
  </si>
  <si>
    <t>76db</t>
  </si>
  <si>
    <t>statistics_1_maintenance_gas_usage</t>
  </si>
  <si>
    <t>7704</t>
  </si>
  <si>
    <t>status_3_PendingTask_1</t>
  </si>
  <si>
    <t>255</t>
  </si>
  <si>
    <t>770a</t>
  </si>
  <si>
    <t>status_3_PendingTask_3</t>
  </si>
  <si>
    <t>770d</t>
  </si>
  <si>
    <t>status_3_PendingTask_2</t>
  </si>
  <si>
    <t>7711</t>
  </si>
  <si>
    <t>status_3_HeatpumpDegreeMinutesControlState</t>
  </si>
  <si>
    <t>7712</t>
  </si>
  <si>
    <t>status_3_DegreeMinutesIntegrator</t>
  </si>
  <si>
    <t>int32</t>
  </si>
  <si>
    <t>7716</t>
  </si>
  <si>
    <t>status_3_BuhAllowedFlags</t>
  </si>
  <si>
    <t>7718</t>
  </si>
  <si>
    <t>status_3_PendingTask_5</t>
  </si>
  <si>
    <t>771b</t>
  </si>
  <si>
    <t>status_3_FilteredReturnTemperature30min</t>
  </si>
  <si>
    <t>771f</t>
  </si>
  <si>
    <t>status_3_PendingTask_4</t>
  </si>
  <si>
    <t>772c</t>
  </si>
  <si>
    <t>status_3_ProtectState</t>
  </si>
  <si>
    <t>2</t>
  </si>
  <si>
    <t>773a</t>
  </si>
  <si>
    <t>status_3_DegreeMinutesCompressorState</t>
  </si>
  <si>
    <t>7747</t>
  </si>
  <si>
    <t>status_3_ClockProgramActiveFlags</t>
  </si>
  <si>
    <t>7766</t>
  </si>
  <si>
    <t>status_3_RequestedBuhLevel</t>
  </si>
  <si>
    <t>status_3_RequestedTemperature</t>
  </si>
  <si>
    <t>7769</t>
  </si>
  <si>
    <t>status_3_HeatpumpHysteresisControlState</t>
  </si>
  <si>
    <t>777d</t>
  </si>
  <si>
    <t>status_3_RequestedHeatpumpMode</t>
  </si>
  <si>
    <t>status_3_Flags</t>
  </si>
  <si>
    <t>77ce</t>
  </si>
  <si>
    <t>status_3_BuhActiveFlags</t>
  </si>
  <si>
    <t>status_3_SystemIo</t>
  </si>
  <si>
    <t>17092</t>
  </si>
  <si>
    <t>77dd</t>
  </si>
  <si>
    <t>status_3_SystemStatus</t>
  </si>
  <si>
    <t>14</t>
  </si>
  <si>
    <t>7911</t>
  </si>
  <si>
    <t>status_1_OT_therm_prod_version</t>
  </si>
  <si>
    <t>12</t>
  </si>
  <si>
    <t>status_1_roomtemperature_set_1</t>
  </si>
  <si>
    <t>7928</t>
  </si>
  <si>
    <t>status_1_roomtemperature_set_2</t>
  </si>
  <si>
    <t>status_1_notification_code</t>
  </si>
  <si>
    <t>794b</t>
  </si>
  <si>
    <t>status_1_flowsensor_flow</t>
  </si>
  <si>
    <t>7971</t>
  </si>
  <si>
    <t>status_1_override_dhw_comfort</t>
  </si>
  <si>
    <t>7986</t>
  </si>
  <si>
    <t>status_1_override_roomtemperature_2</t>
  </si>
  <si>
    <t>798f</t>
  </si>
  <si>
    <t>status_1_override_roomtemperature_1</t>
  </si>
  <si>
    <t>status_1_roomtemperature_1</t>
  </si>
  <si>
    <t>79ba</t>
  </si>
  <si>
    <t>status_1_roomtemperature_2</t>
  </si>
  <si>
    <t>79c1</t>
  </si>
  <si>
    <t>status_1_hardware_type</t>
  </si>
  <si>
    <t>79e0</t>
  </si>
  <si>
    <t>status_1_OT_therm_prod_type</t>
  </si>
  <si>
    <t>79e1</t>
  </si>
  <si>
    <t>status_1_OT2_therm_prod_type</t>
  </si>
  <si>
    <t>79eb</t>
  </si>
  <si>
    <t>status_1_rf_rth_master_version</t>
  </si>
  <si>
    <t>79ec</t>
  </si>
  <si>
    <t>status_1_rf_rth_master_type</t>
  </si>
  <si>
    <t>79f4</t>
  </si>
  <si>
    <t>status_1_gasvalve_current</t>
  </si>
  <si>
    <t>int8</t>
  </si>
  <si>
    <t>79f8</t>
  </si>
  <si>
    <t>status_1_temp_outside_actual</t>
  </si>
  <si>
    <t>79f9</t>
  </si>
  <si>
    <t>status_1_OT_master_member_id</t>
  </si>
  <si>
    <t>173</t>
  </si>
  <si>
    <t>79fe</t>
  </si>
  <si>
    <t>status_1_OT2_master_member_id</t>
  </si>
  <si>
    <t>7e06</t>
  </si>
  <si>
    <t>status_0_temp_flow</t>
  </si>
  <si>
    <t>7e14</t>
  </si>
  <si>
    <t>status_0_rf_thermostat_status</t>
  </si>
  <si>
    <t>7e28</t>
  </si>
  <si>
    <t>status_0_temp_hotwater</t>
  </si>
  <si>
    <t>status_0_lockout_code</t>
  </si>
  <si>
    <t>status_0_temp_set</t>
  </si>
  <si>
    <t>7e3e</t>
  </si>
  <si>
    <t>status_0_heatdemand_io</t>
  </si>
  <si>
    <t>128</t>
  </si>
  <si>
    <t>status_0_heatdemand_status</t>
  </si>
  <si>
    <t>126</t>
  </si>
  <si>
    <t>7e52</t>
  </si>
  <si>
    <t>status_0_temp_t_ext_1</t>
  </si>
  <si>
    <t>7e5b</t>
  </si>
  <si>
    <t>status_0_temp_t_ext_2</t>
  </si>
  <si>
    <t>7e67</t>
  </si>
  <si>
    <t>status_0_internal_fault</t>
  </si>
  <si>
    <t>7e76</t>
  </si>
  <si>
    <t>status_0_burner_io</t>
  </si>
  <si>
    <t>40</t>
  </si>
  <si>
    <t>status_0_burner_status</t>
  </si>
  <si>
    <t>64</t>
  </si>
  <si>
    <t>status_0_temp_return</t>
  </si>
  <si>
    <t>7e82</t>
  </si>
  <si>
    <t>status_0_flame_current</t>
  </si>
  <si>
    <t>unit.micro_ampere</t>
  </si>
  <si>
    <t>7e9f</t>
  </si>
  <si>
    <t>status_0_temp_misscher</t>
  </si>
  <si>
    <t>7ead</t>
  </si>
  <si>
    <t>status_0_temp_flue</t>
  </si>
  <si>
    <t>7eb2</t>
  </si>
  <si>
    <t>status_0_temp_coldwater</t>
  </si>
  <si>
    <t>status_0_water_pressure</t>
  </si>
  <si>
    <t>status_0_temp_supply</t>
  </si>
  <si>
    <t>8415</t>
  </si>
  <si>
    <t>boiler_status_1_to_boiler_ot_room_temperature_set</t>
  </si>
  <si>
    <t>8418</t>
  </si>
  <si>
    <t>boiler_status_1_from_ot_slave_config</t>
  </si>
  <si>
    <t>65</t>
  </si>
  <si>
    <t>841b</t>
  </si>
  <si>
    <t>boiler_status_1_to_boiler_ot_master_config</t>
  </si>
  <si>
    <t>841f</t>
  </si>
  <si>
    <t>boiler_status_1_to_boiler_ot_room_temperature_act</t>
  </si>
  <si>
    <t>8434</t>
  </si>
  <si>
    <t>boiler_status_1_to_boiler_ot_control_setpoint</t>
  </si>
  <si>
    <t>boiler_status_1_from_boiler_ot_oem_faultcode</t>
  </si>
  <si>
    <t>843a</t>
  </si>
  <si>
    <t>boiler_status_1_from_boiler_ot_status</t>
  </si>
  <si>
    <t>8445</t>
  </si>
  <si>
    <t>boiler_status_1_from_boiler_ot_override_function</t>
  </si>
  <si>
    <t>844c</t>
  </si>
  <si>
    <t>boiler_status_1_from_boiler_ot_ch_pressure</t>
  </si>
  <si>
    <t>8457</t>
  </si>
  <si>
    <t>boiler_status_1_to_boiler_ot_status</t>
  </si>
  <si>
    <t>8476</t>
  </si>
  <si>
    <t>boiler_status_1_to_boiler_ot_ext_boiler_set</t>
  </si>
  <si>
    <t>8488</t>
  </si>
  <si>
    <t>boiler_status_1_from_boiler_ot_override_temperature</t>
  </si>
  <si>
    <t>848e</t>
  </si>
  <si>
    <t>boiler_status_1_to_boiler_ot_modulation_level_set</t>
  </si>
  <si>
    <t>boiler_status_1_from_boiler_ot_modulation_level</t>
  </si>
  <si>
    <t>84ec</t>
  </si>
  <si>
    <t>boiler_status_1_to_boiler_ot_dhw_setpoint_set</t>
  </si>
  <si>
    <t>84f7</t>
  </si>
  <si>
    <t>boiler_status_1_from_boiler_ot_remote_parameter</t>
  </si>
  <si>
    <t>769</t>
  </si>
  <si>
    <t>boiler_status_2_from_boiler_ot_burner_starts</t>
  </si>
  <si>
    <t>8e16</t>
  </si>
  <si>
    <t>boiler_status_2_from_boiler_ot_return_water_temp_s16</t>
  </si>
  <si>
    <t>boiler_status_2_from_boiler_ot_flame_loss</t>
  </si>
  <si>
    <t>8e1e</t>
  </si>
  <si>
    <t>boiler_status_2_from_boiler_ot_slave_version</t>
  </si>
  <si>
    <t>257</t>
  </si>
  <si>
    <t>8e34</t>
  </si>
  <si>
    <t>boiler_status_2_from_boiler_ot_dhw_bounds_u16</t>
  </si>
  <si>
    <t>16680</t>
  </si>
  <si>
    <t>boiler_status_2_from_boiler_ot_dhw_hours</t>
  </si>
  <si>
    <t>8e38</t>
  </si>
  <si>
    <t>boiler_status_2_from_boiler_ot_boiler_temp_s16</t>
  </si>
  <si>
    <t>8e39</t>
  </si>
  <si>
    <t>boiler_status_2_from_boiler_ot_ch_bounds_u16</t>
  </si>
  <si>
    <t>8e7f</t>
  </si>
  <si>
    <t>boiler_status_2_from_boiler_ot_dhw_flowrate</t>
  </si>
  <si>
    <t>8e80</t>
  </si>
  <si>
    <t>boiler_status_2_from_boiler_ot_outside_temperature</t>
  </si>
  <si>
    <t>8e8f</t>
  </si>
  <si>
    <t>boiler_status_2_from_boiler_ot_ch_water_setpoint</t>
  </si>
  <si>
    <t>8e9d</t>
  </si>
  <si>
    <t>boiler_status_2_from_boiler_ot_spark_not_succesfull</t>
  </si>
  <si>
    <t>8ecb</t>
  </si>
  <si>
    <t>boiler_status_2_from_boiler_ot_dhw_setpoint</t>
  </si>
  <si>
    <t>8ecc</t>
  </si>
  <si>
    <t>boiler_status_2_from_boiler_ot_slave_opentherm_version</t>
  </si>
  <si>
    <t>1049</t>
  </si>
  <si>
    <t>8edb</t>
  </si>
  <si>
    <t>boiler_status_2_from_boiler_ot_dhw_temperature</t>
  </si>
  <si>
    <t>boiler_status_2_from_boiler_ot_ch_hours</t>
  </si>
  <si>
    <t>b202</t>
  </si>
  <si>
    <t>boiler_control_boiler_lowLoadState</t>
  </si>
  <si>
    <t>b206</t>
  </si>
  <si>
    <t>boiler_control_pidcontrol_output</t>
  </si>
  <si>
    <t>b215</t>
  </si>
  <si>
    <t>boiler_control_pidcontrol_part_i</t>
  </si>
  <si>
    <t>b232</t>
  </si>
  <si>
    <t>boiler_control_boiler_request_powerlevel</t>
  </si>
  <si>
    <t>b241</t>
  </si>
  <si>
    <t>boiler_control_boiler_temp_exceeded_flags</t>
  </si>
  <si>
    <t>b24d</t>
  </si>
  <si>
    <t>boiler_control_pidcontrol_actual</t>
  </si>
  <si>
    <t>b25a</t>
  </si>
  <si>
    <t>boiler_control_pidcontrol_part_p</t>
  </si>
  <si>
    <t>boiler_control_boiler_control_flags</t>
  </si>
  <si>
    <t>b2af</t>
  </si>
  <si>
    <t>boiler_control_boiler_request_on</t>
  </si>
  <si>
    <t>boiler_control_boiler_flame_state</t>
  </si>
  <si>
    <t>b2c6</t>
  </si>
  <si>
    <t>boiler_control_boiler_lowLoadDutyCycle_u8</t>
  </si>
  <si>
    <t>b2d5</t>
  </si>
  <si>
    <t>boiler_control_boiler_power_limit</t>
  </si>
  <si>
    <t>b2ee</t>
  </si>
  <si>
    <t>boiler_control_pidcontrol_setpoint</t>
  </si>
  <si>
    <t>b2fe</t>
  </si>
  <si>
    <t>boiler_control_boiler_request_temperature</t>
  </si>
  <si>
    <t>f908</t>
  </si>
  <si>
    <t>bivalent_service_sfTreturn30sec</t>
  </si>
  <si>
    <t>f909</t>
  </si>
  <si>
    <t>bivalent_service_sfTsystemsupply30sec</t>
  </si>
  <si>
    <t>f91f</t>
  </si>
  <si>
    <t>bivalent_service_maHpElectricalPower</t>
  </si>
  <si>
    <t>f926</t>
  </si>
  <si>
    <t>bivalent_service_maHpThermalPower</t>
  </si>
  <si>
    <t>f934</t>
  </si>
  <si>
    <t>bivalent_service_AverageCOP</t>
  </si>
  <si>
    <t>250</t>
  </si>
  <si>
    <t>f938</t>
  </si>
  <si>
    <t>bivalent_service_BivalentDeviceState</t>
  </si>
  <si>
    <t>f94e</t>
  </si>
  <si>
    <t>bivalent_service_flags2</t>
  </si>
  <si>
    <t>1536</t>
  </si>
  <si>
    <t>f950</t>
  </si>
  <si>
    <t>bivalent_service_tLongTermCalibration_SysSupply_s16</t>
  </si>
  <si>
    <t>f969</t>
  </si>
  <si>
    <t>bivalent_service_BivalentState</t>
  </si>
  <si>
    <t>f98e</t>
  </si>
  <si>
    <t>bivalent_service_bForcedCalibration</t>
  </si>
  <si>
    <t>f99a</t>
  </si>
  <si>
    <t>bivalent_service_DegreeMinutes</t>
  </si>
  <si>
    <t>f9b1</t>
  </si>
  <si>
    <t>bivalent_service_relativePowerLevel</t>
  </si>
  <si>
    <t>f9b4</t>
  </si>
  <si>
    <t>bivalent_service_BivalentSensorCalState</t>
  </si>
  <si>
    <t>f9bc</t>
  </si>
  <si>
    <t>bivalent_service_tmrBoilerDelay_threshold</t>
  </si>
  <si>
    <t>f9c7</t>
  </si>
  <si>
    <t>bivalent_service_tLongTermCalibration_HpSupply_s16</t>
  </si>
  <si>
    <t>f9c9</t>
  </si>
  <si>
    <t>bivalent_service_MinCopThreshold_u8</t>
  </si>
  <si>
    <t>bivalent_service_flags</t>
  </si>
  <si>
    <t>plugin text</t>
  </si>
  <si>
    <t>HP energy usage</t>
  </si>
  <si>
    <t>HP energy generated</t>
  </si>
  <si>
    <t>Heat Demand, Boiler</t>
  </si>
  <si>
    <t>Status, Operating Mode</t>
  </si>
  <si>
    <t>Status, Silent Mode</t>
  </si>
  <si>
    <t>CH water, Supply</t>
  </si>
  <si>
    <t>CH water, Setpoint</t>
  </si>
  <si>
    <t>Power, Heat pump</t>
  </si>
  <si>
    <t>Power, Boiler</t>
  </si>
  <si>
    <t>Power, Total Thermal</t>
  </si>
  <si>
    <t>Power, COP</t>
  </si>
  <si>
    <t>Power, Retrieved</t>
  </si>
  <si>
    <t>Temperatures, Room</t>
  </si>
  <si>
    <t>Temperatures, Outside</t>
  </si>
  <si>
    <t>Firmware version</t>
  </si>
  <si>
    <t>Energy, Heat Pump Used, Previous Day</t>
  </si>
  <si>
    <t>Energy, Heat Pump Generated, Previous Day</t>
  </si>
  <si>
    <t>Energy, Heat Pump COP, Previous Day</t>
  </si>
  <si>
    <t>Energy, Boiler Generated, Previous Day</t>
  </si>
  <si>
    <t>Energy, Boiler Generated, Total</t>
  </si>
  <si>
    <t>Energy, Heat Pump Generated, Total</t>
  </si>
  <si>
    <t>Energy, Heat Pump Used, Total</t>
  </si>
  <si>
    <t>Heat Pump, Compressor Starts</t>
  </si>
  <si>
    <t>Heat Pump, Runtime</t>
  </si>
  <si>
    <t>Heat Pump, Hours on Power</t>
  </si>
  <si>
    <t>Heat Pump, Power Cycles</t>
  </si>
  <si>
    <t>Heat Pump, Defrost Cycles</t>
  </si>
  <si>
    <t>Heat Pump, Crank heater hours</t>
  </si>
  <si>
    <t>Heat Pump, Domestic hot water pump hours</t>
  </si>
  <si>
    <t>Heat Pump, Domestic hot water pump starts</t>
  </si>
  <si>
    <t>Heat Pump, Crank heater starts</t>
  </si>
  <si>
    <t>Boiler, Boiler Starts</t>
  </si>
  <si>
    <t>Boiler, Runtime CH</t>
  </si>
  <si>
    <t>Boiler, Flame loss</t>
  </si>
  <si>
    <t>Heat Pump, Device Status</t>
  </si>
  <si>
    <t>Heat Pump, CH water, Flow</t>
  </si>
  <si>
    <t>Heat Pump, CH water, Return</t>
  </si>
  <si>
    <t>Heat Pump, CH water, Supply</t>
  </si>
  <si>
    <t>Heat Pump, CH Water, Setpoint</t>
  </si>
  <si>
    <t>Heat Pump, Refrigeration, Discharge gas pressure</t>
  </si>
  <si>
    <t>Heat Pump, Refrigeration, Suction gas pressure</t>
  </si>
  <si>
    <t>Heat Pump, Refrigeration, Exhaust gas temperature</t>
  </si>
  <si>
    <t>Heat Pump, Refrigeration, Suction line gas temperature</t>
  </si>
  <si>
    <t>Heat Pump, Refrigeration, Evaporator Temperature</t>
  </si>
  <si>
    <t>Heat Pump, Refrigeration, T condensor gas</t>
  </si>
  <si>
    <t>Heat Pump, Refrigeration, T condensor liquid</t>
  </si>
  <si>
    <t>Heat Pump, Refrigeration, Suction line overheat</t>
  </si>
  <si>
    <t>Heat Pump, Refrigeration, Discharge overheat</t>
  </si>
  <si>
    <t>Heat Pump, Refrigeration, subcooling</t>
  </si>
  <si>
    <t>Heat Pump, Compressor Frequency</t>
  </si>
  <si>
    <t>Heat pump, Fan Speed</t>
  </si>
  <si>
    <t>Heat Pump, Eev position</t>
  </si>
  <si>
    <t>Heat Pump, Lockout Code</t>
  </si>
  <si>
    <t>Heat Pump, Notification Code</t>
  </si>
  <si>
    <t>Temperatures, Target/Setpoint</t>
  </si>
  <si>
    <t>Boiler, Flame</t>
  </si>
  <si>
    <t>Boiler, Modulation Level</t>
  </si>
  <si>
    <t>Heat Pump/Boiler, CH water, Pressure</t>
  </si>
  <si>
    <t>Boiler, CH Water, Return</t>
  </si>
  <si>
    <t>Boiler, CH Water, Supply</t>
  </si>
  <si>
    <t>Boiler, CH Water, Setpoint</t>
  </si>
  <si>
    <t>Boiler, Lockout Code</t>
  </si>
  <si>
    <t>Software version</t>
  </si>
  <si>
    <t>COP</t>
  </si>
  <si>
    <t>Boiler CH return temp</t>
  </si>
  <si>
    <t>Boiler CH supply temp</t>
  </si>
  <si>
    <t>HP return temp</t>
  </si>
  <si>
    <t>HP CH flow</t>
  </si>
  <si>
    <t>Pump level</t>
  </si>
  <si>
    <t xml:space="preserve">HP supply temp </t>
  </si>
  <si>
    <t>HP setpoint temp</t>
  </si>
  <si>
    <t>Suction line gas temp</t>
  </si>
  <si>
    <t>Outside temp</t>
  </si>
  <si>
    <t>HP suction pressure</t>
  </si>
  <si>
    <t>Operation mode</t>
  </si>
  <si>
    <t>Compressor frequency</t>
  </si>
  <si>
    <t>HP discharge gas pressure</t>
  </si>
  <si>
    <t>Coil temp</t>
  </si>
  <si>
    <t>Exhaust gas temp</t>
  </si>
  <si>
    <t>HP defrost cycles</t>
  </si>
  <si>
    <t>Boiler DHW starts</t>
  </si>
  <si>
    <t>HP Compressor starts</t>
  </si>
  <si>
    <t>HP runtime</t>
  </si>
  <si>
    <t>Condensor gas temp</t>
  </si>
  <si>
    <t>Discharge overheat temp</t>
  </si>
  <si>
    <t>Subcooling temp</t>
  </si>
  <si>
    <t>Fan speed</t>
  </si>
  <si>
    <t>Condensor liquid temp</t>
  </si>
  <si>
    <t>Suction line overheat temp</t>
  </si>
  <si>
    <t>Boiler ignition fail count</t>
  </si>
  <si>
    <t>HP power cycles</t>
  </si>
  <si>
    <t>HP poweron</t>
  </si>
  <si>
    <t>System status</t>
  </si>
  <si>
    <t>Target room temp</t>
  </si>
  <si>
    <t>Room temp</t>
  </si>
  <si>
    <t>Boiler temp</t>
  </si>
  <si>
    <t>Boiler status</t>
  </si>
  <si>
    <t>CH water pressure</t>
  </si>
  <si>
    <t>Boiler modulation target</t>
  </si>
  <si>
    <t>Boiler modulation level</t>
  </si>
  <si>
    <t>Boiler starts</t>
  </si>
  <si>
    <t>Boiler flame loss count</t>
  </si>
  <si>
    <t>Boiler DHW runtime</t>
  </si>
  <si>
    <t>Boiler DHW flow</t>
  </si>
  <si>
    <t>Boiler CH setpoint temp</t>
  </si>
  <si>
    <t>Boiler DHW max temp</t>
  </si>
  <si>
    <t>Boiler DHW actual temp</t>
  </si>
  <si>
    <t>Boiler CH runtime</t>
  </si>
  <si>
    <t>XTEND HTTP-GET</t>
  </si>
  <si>
    <t>plugin code</t>
  </si>
  <si>
    <t>used on Xtend screens</t>
  </si>
  <si>
    <t>6000</t>
  </si>
  <si>
    <t xml:space="preserve">Boiler, Domestic Hot Water runtime </t>
  </si>
  <si>
    <t>x</t>
  </si>
  <si>
    <t>bit 4 of 8 indicates silent mode (ref HA integration)</t>
  </si>
  <si>
    <t>comments</t>
  </si>
  <si>
    <t>Heat Pump, 4-way Valve Position</t>
  </si>
  <si>
    <t>bit 3 of 16 indicates 4-way valve (ref HA integration)</t>
  </si>
  <si>
    <t>comment</t>
  </si>
  <si>
    <t>used for Operational Mode on Xtend screen ?</t>
  </si>
  <si>
    <t>not queried or used on Xtend screen</t>
  </si>
  <si>
    <t>disabled in Domoticz</t>
  </si>
  <si>
    <t>not queried or used on Xtend screen, disabled in Domoticz</t>
  </si>
  <si>
    <t>x means retrieved value is not shown on the XTEND screen</t>
  </si>
  <si>
    <t>codes requested by Xtend screen</t>
  </si>
  <si>
    <t>Name shown on XTEND screen</t>
  </si>
  <si>
    <t>description from HA integration</t>
  </si>
  <si>
    <t>Domoticz plugin device name</t>
  </si>
  <si>
    <t>#N/A means not available, not found</t>
  </si>
  <si>
    <t>base pan heater starts or hours ?</t>
  </si>
  <si>
    <t>V0.86-</t>
  </si>
  <si>
    <t>2001</t>
  </si>
  <si>
    <t>2000</t>
  </si>
  <si>
    <t>102</t>
  </si>
  <si>
    <t>200</t>
  </si>
  <si>
    <t>131</t>
  </si>
  <si>
    <t>18158</t>
  </si>
  <si>
    <t>152</t>
  </si>
  <si>
    <t>1118</t>
  </si>
  <si>
    <t>3838</t>
  </si>
  <si>
    <t>4282</t>
  </si>
  <si>
    <t>4246</t>
  </si>
  <si>
    <t>1200</t>
  </si>
  <si>
    <t>32767</t>
  </si>
  <si>
    <t>3414</t>
  </si>
  <si>
    <t>43</t>
  </si>
  <si>
    <t>786</t>
  </si>
  <si>
    <t>474</t>
  </si>
  <si>
    <t>118</t>
  </si>
  <si>
    <t>20</t>
  </si>
  <si>
    <t>549</t>
  </si>
  <si>
    <t>108</t>
  </si>
  <si>
    <t>122</t>
  </si>
  <si>
    <t>177</t>
  </si>
  <si>
    <t>3266</t>
  </si>
  <si>
    <t>15578</t>
  </si>
  <si>
    <t>15783</t>
  </si>
  <si>
    <t>37</t>
  </si>
  <si>
    <t>2644</t>
  </si>
  <si>
    <t>981</t>
  </si>
  <si>
    <t>8700</t>
  </si>
  <si>
    <t>600</t>
  </si>
  <si>
    <t>4000</t>
  </si>
  <si>
    <t>4064</t>
  </si>
  <si>
    <t>11</t>
  </si>
  <si>
    <t>4100</t>
  </si>
  <si>
    <t>4266</t>
  </si>
  <si>
    <t>4239</t>
  </si>
  <si>
    <t>4434</t>
  </si>
  <si>
    <t>404</t>
  </si>
  <si>
    <t>410</t>
  </si>
  <si>
    <t>89</t>
  </si>
  <si>
    <t>202</t>
  </si>
  <si>
    <t>6650</t>
  </si>
  <si>
    <t>3847</t>
  </si>
  <si>
    <t>32</t>
  </si>
  <si>
    <t>24</t>
  </si>
  <si>
    <t>251</t>
  </si>
  <si>
    <t>193</t>
  </si>
  <si>
    <t>253</t>
  </si>
  <si>
    <t xml:space="preserve">Example value </t>
  </si>
  <si>
    <t>Heat demand Boiler</t>
  </si>
  <si>
    <t>renamed</t>
  </si>
  <si>
    <t>was 8e8f, 7e31 used on Xtend screen instead, disabled in Domoticz because 32767</t>
  </si>
  <si>
    <t>Bolier enery generated</t>
  </si>
  <si>
    <t>not DHW but HP pump starts ?</t>
  </si>
  <si>
    <t>to be split further</t>
  </si>
  <si>
    <t>Operating Mode ?</t>
  </si>
  <si>
    <t>not DHW but HP pump hours ?</t>
  </si>
  <si>
    <t>was 5077 before, should be 503e for HP,5088 for Boiler, 5077 for total</t>
  </si>
  <si>
    <t>was 623c, 7e81 used on Xtend screen instead (but 32767 value)</t>
  </si>
  <si>
    <t>7ee6 used on Xtend screen, but already used for Boiler temp in plugin</t>
  </si>
  <si>
    <t>was 6573 before, 62d1 used on Xtend screen instead</t>
  </si>
  <si>
    <t>queried but not shown on Xtend screen, disabled in my Domoticz</t>
  </si>
  <si>
    <t>was 844c before, 7ed3 used on Xtend screen instead</t>
  </si>
  <si>
    <t>Device Status</t>
  </si>
  <si>
    <t>Operating Mode</t>
  </si>
  <si>
    <t>Boiler, Heat Demand</t>
  </si>
  <si>
    <t>Heat demand HP</t>
  </si>
  <si>
    <t>not queried or used on Xtend screen, used instead of f9f2 bit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</si>
</sst>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64B9-5E58-4DA7-93E6-ADFCA0006F01}">
  <dimension ref="A1:F282"/>
  <sheetViews>
    <sheetView topLeftCell="A257" workbookViewId="0">
      <selection activeCell="B289" sqref="B289"/>
    </sheetView>
  </sheetViews>
  <sheetFormatPr defaultRowHeight="14.5" x14ac:dyDescent="0.35"/>
  <cols>
    <col min="1" max="1" width="7.81640625" bestFit="1" customWidth="1"/>
    <col min="2" max="2" width="50.81640625" bestFit="1" customWidth="1"/>
    <col min="3" max="3" width="6.08984375" bestFit="1" customWidth="1"/>
    <col min="4" max="4" width="21.54296875" bestFit="1" customWidth="1"/>
    <col min="5" max="5" width="6.81640625" bestFit="1" customWidth="1"/>
    <col min="6" max="6" width="7.453125" bestFit="1" customWidth="1"/>
    <col min="7" max="7" width="4.453125" bestFit="1" customWidth="1"/>
    <col min="8" max="8" width="5.6328125" bestFit="1" customWidth="1"/>
    <col min="9" max="9" width="4.1796875" bestFit="1" customWidth="1"/>
    <col min="10" max="10" width="4.08984375" bestFit="1" customWidth="1"/>
    <col min="11" max="11" width="1.81640625" bestFit="1" customWidth="1"/>
    <col min="12" max="12" width="8.453125" bestFit="1" customWidth="1"/>
    <col min="13" max="13" width="3.26953125" bestFit="1" customWidth="1"/>
    <col min="14" max="14" width="3.36328125" bestFit="1" customWidth="1"/>
    <col min="15" max="15" width="5.6328125" bestFit="1" customWidth="1"/>
    <col min="16" max="16" width="4.08984375" bestFit="1" customWidth="1"/>
  </cols>
  <sheetData>
    <row r="1" spans="1:6" x14ac:dyDescent="0.35">
      <c r="A1" s="1" t="s">
        <v>84</v>
      </c>
      <c r="B1" s="1" t="s">
        <v>96</v>
      </c>
      <c r="C1" s="1" t="s">
        <v>97</v>
      </c>
      <c r="D1" s="1" t="s">
        <v>98</v>
      </c>
    </row>
    <row r="2" spans="1:6" x14ac:dyDescent="0.35">
      <c r="A2" s="1" t="s">
        <v>99</v>
      </c>
      <c r="B2" s="1" t="s">
        <v>100</v>
      </c>
      <c r="C2" s="1" t="s">
        <v>97</v>
      </c>
      <c r="D2" s="1" t="s">
        <v>101</v>
      </c>
    </row>
    <row r="3" spans="1:6" x14ac:dyDescent="0.35">
      <c r="A3" s="1" t="s">
        <v>102</v>
      </c>
      <c r="B3" s="1" t="s">
        <v>103</v>
      </c>
      <c r="C3" s="1" t="s">
        <v>97</v>
      </c>
      <c r="D3" s="1" t="s">
        <v>98</v>
      </c>
    </row>
    <row r="4" spans="1:6" x14ac:dyDescent="0.35">
      <c r="A4" s="1" t="s">
        <v>104</v>
      </c>
      <c r="B4" s="1" t="s">
        <v>105</v>
      </c>
      <c r="C4" s="1" t="s">
        <v>97</v>
      </c>
      <c r="D4" s="1" t="s">
        <v>98</v>
      </c>
    </row>
    <row r="5" spans="1:6" x14ac:dyDescent="0.35">
      <c r="A5" s="1" t="s">
        <v>106</v>
      </c>
      <c r="B5" s="1" t="s">
        <v>107</v>
      </c>
      <c r="C5" s="1" t="s">
        <v>97</v>
      </c>
      <c r="D5" s="1" t="s">
        <v>98</v>
      </c>
    </row>
    <row r="6" spans="1:6" x14ac:dyDescent="0.35">
      <c r="A6" s="1" t="s">
        <v>108</v>
      </c>
      <c r="B6" s="1" t="s">
        <v>109</v>
      </c>
      <c r="C6" s="1" t="s">
        <v>97</v>
      </c>
      <c r="D6" s="1" t="s">
        <v>98</v>
      </c>
    </row>
    <row r="7" spans="1:6" x14ac:dyDescent="0.35">
      <c r="A7" s="1" t="s">
        <v>110</v>
      </c>
      <c r="B7" s="1" t="s">
        <v>111</v>
      </c>
      <c r="C7" s="1" t="s">
        <v>97</v>
      </c>
      <c r="D7" s="1" t="s">
        <v>98</v>
      </c>
    </row>
    <row r="8" spans="1:6" x14ac:dyDescent="0.35">
      <c r="A8" s="1" t="s">
        <v>112</v>
      </c>
      <c r="B8" s="1" t="s">
        <v>113</v>
      </c>
      <c r="C8" s="1" t="s">
        <v>97</v>
      </c>
      <c r="D8" s="1" t="s">
        <v>98</v>
      </c>
    </row>
    <row r="9" spans="1:6" x14ac:dyDescent="0.35">
      <c r="A9" s="1" t="s">
        <v>114</v>
      </c>
      <c r="B9" s="1" t="s">
        <v>115</v>
      </c>
      <c r="C9" s="1" t="s">
        <v>97</v>
      </c>
      <c r="D9" s="1" t="s">
        <v>98</v>
      </c>
    </row>
    <row r="10" spans="1:6" x14ac:dyDescent="0.35">
      <c r="A10" s="1" t="s">
        <v>116</v>
      </c>
      <c r="B10" s="1" t="s">
        <v>117</v>
      </c>
      <c r="C10" s="1" t="s">
        <v>97</v>
      </c>
      <c r="D10" s="1" t="s">
        <v>118</v>
      </c>
    </row>
    <row r="11" spans="1:6" x14ac:dyDescent="0.35">
      <c r="A11" s="1" t="s">
        <v>119</v>
      </c>
      <c r="B11" s="1" t="s">
        <v>120</v>
      </c>
      <c r="C11" s="1" t="s">
        <v>97</v>
      </c>
      <c r="D11" s="1" t="s">
        <v>121</v>
      </c>
    </row>
    <row r="12" spans="1:6" x14ac:dyDescent="0.35">
      <c r="A12" s="1" t="s">
        <v>122</v>
      </c>
      <c r="B12" s="1" t="s">
        <v>123</v>
      </c>
      <c r="C12" s="1" t="s">
        <v>97</v>
      </c>
      <c r="D12" s="1" t="s">
        <v>124</v>
      </c>
    </row>
    <row r="13" spans="1:6" x14ac:dyDescent="0.35">
      <c r="A13" s="1" t="s">
        <v>125</v>
      </c>
      <c r="B13" s="1" t="s">
        <v>126</v>
      </c>
      <c r="C13" s="1" t="s">
        <v>97</v>
      </c>
      <c r="D13" s="1" t="s">
        <v>127</v>
      </c>
    </row>
    <row r="14" spans="1:6" x14ac:dyDescent="0.35">
      <c r="A14" s="1" t="s">
        <v>128</v>
      </c>
      <c r="B14" s="1" t="s">
        <v>129</v>
      </c>
      <c r="C14" s="1" t="s">
        <v>97</v>
      </c>
      <c r="D14" s="1" t="s">
        <v>130</v>
      </c>
    </row>
    <row r="15" spans="1:6" x14ac:dyDescent="0.35">
      <c r="A15" s="1" t="s">
        <v>131</v>
      </c>
      <c r="B15" s="1" t="s">
        <v>132</v>
      </c>
      <c r="C15" s="1" t="s">
        <v>97</v>
      </c>
      <c r="D15" s="1" t="s">
        <v>133</v>
      </c>
    </row>
    <row r="16" spans="1:6" x14ac:dyDescent="0.35">
      <c r="A16" s="1" t="s">
        <v>134</v>
      </c>
      <c r="B16" s="1" t="s">
        <v>135</v>
      </c>
      <c r="C16" s="1" t="s">
        <v>136</v>
      </c>
      <c r="D16" s="1" t="s">
        <v>137</v>
      </c>
      <c r="E16">
        <v>0.01</v>
      </c>
      <c r="F16">
        <v>0</v>
      </c>
    </row>
    <row r="17" spans="1:6" x14ac:dyDescent="0.35">
      <c r="A17" s="1" t="s">
        <v>138</v>
      </c>
      <c r="B17" s="1" t="s">
        <v>139</v>
      </c>
      <c r="C17" s="1" t="s">
        <v>136</v>
      </c>
      <c r="D17" s="1" t="s">
        <v>140</v>
      </c>
      <c r="E17">
        <v>0.01</v>
      </c>
      <c r="F17">
        <v>0</v>
      </c>
    </row>
    <row r="18" spans="1:6" x14ac:dyDescent="0.35">
      <c r="A18" s="1" t="s">
        <v>141</v>
      </c>
      <c r="B18" s="1" t="s">
        <v>142</v>
      </c>
      <c r="C18" s="1" t="s">
        <v>136</v>
      </c>
      <c r="D18" s="1" t="s">
        <v>140</v>
      </c>
      <c r="E18">
        <v>0.01</v>
      </c>
      <c r="F18">
        <v>0</v>
      </c>
    </row>
    <row r="19" spans="1:6" x14ac:dyDescent="0.35">
      <c r="A19" s="1" t="s">
        <v>143</v>
      </c>
      <c r="B19" s="1" t="s">
        <v>144</v>
      </c>
      <c r="C19" s="1" t="s">
        <v>136</v>
      </c>
      <c r="D19" s="1" t="s">
        <v>145</v>
      </c>
      <c r="E19">
        <v>0</v>
      </c>
    </row>
    <row r="20" spans="1:6" x14ac:dyDescent="0.35">
      <c r="A20" s="1" t="s">
        <v>146</v>
      </c>
      <c r="B20" s="1" t="s">
        <v>147</v>
      </c>
      <c r="C20" s="1" t="s">
        <v>136</v>
      </c>
      <c r="D20" s="1" t="s">
        <v>140</v>
      </c>
      <c r="E20">
        <v>0.01</v>
      </c>
      <c r="F20">
        <v>0</v>
      </c>
    </row>
    <row r="21" spans="1:6" x14ac:dyDescent="0.35">
      <c r="A21" s="1" t="s">
        <v>148</v>
      </c>
      <c r="B21" s="1" t="s">
        <v>149</v>
      </c>
      <c r="C21" s="1" t="s">
        <v>136</v>
      </c>
      <c r="D21" s="1" t="s">
        <v>140</v>
      </c>
      <c r="E21">
        <v>0.01</v>
      </c>
      <c r="F21">
        <v>0</v>
      </c>
    </row>
    <row r="22" spans="1:6" x14ac:dyDescent="0.35">
      <c r="A22" s="1" t="s">
        <v>150</v>
      </c>
      <c r="B22" s="1" t="s">
        <v>151</v>
      </c>
      <c r="C22" s="1" t="s">
        <v>136</v>
      </c>
      <c r="D22" s="1" t="s">
        <v>145</v>
      </c>
      <c r="E22">
        <v>0</v>
      </c>
    </row>
    <row r="23" spans="1:6" x14ac:dyDescent="0.35">
      <c r="A23" s="1" t="s">
        <v>152</v>
      </c>
      <c r="B23" s="1" t="s">
        <v>153</v>
      </c>
      <c r="C23" s="1" t="s">
        <v>136</v>
      </c>
      <c r="D23" s="1" t="s">
        <v>140</v>
      </c>
      <c r="E23">
        <v>0.01</v>
      </c>
      <c r="F23">
        <v>0</v>
      </c>
    </row>
    <row r="24" spans="1:6" x14ac:dyDescent="0.35">
      <c r="A24" s="1" t="s">
        <v>154</v>
      </c>
      <c r="B24" s="1" t="s">
        <v>155</v>
      </c>
      <c r="C24" s="1" t="s">
        <v>136</v>
      </c>
      <c r="D24" s="1" t="s">
        <v>137</v>
      </c>
      <c r="E24">
        <v>0.01</v>
      </c>
      <c r="F24">
        <v>0</v>
      </c>
    </row>
    <row r="25" spans="1:6" x14ac:dyDescent="0.35">
      <c r="A25" s="1" t="s">
        <v>156</v>
      </c>
      <c r="B25" s="1" t="s">
        <v>157</v>
      </c>
      <c r="C25" s="1" t="s">
        <v>136</v>
      </c>
      <c r="D25" s="1" t="s">
        <v>137</v>
      </c>
      <c r="E25">
        <v>0.01</v>
      </c>
      <c r="F25">
        <v>0</v>
      </c>
    </row>
    <row r="26" spans="1:6" x14ac:dyDescent="0.35">
      <c r="A26" s="1" t="s">
        <v>158</v>
      </c>
      <c r="B26" s="1" t="s">
        <v>159</v>
      </c>
      <c r="C26" s="1" t="s">
        <v>160</v>
      </c>
      <c r="D26" s="1" t="s">
        <v>161</v>
      </c>
    </row>
    <row r="27" spans="1:6" x14ac:dyDescent="0.35">
      <c r="A27" s="1" t="s">
        <v>162</v>
      </c>
      <c r="B27" s="1" t="s">
        <v>163</v>
      </c>
      <c r="C27" s="1" t="s">
        <v>164</v>
      </c>
      <c r="D27" s="1" t="s">
        <v>165</v>
      </c>
    </row>
    <row r="28" spans="1:6" x14ac:dyDescent="0.35">
      <c r="A28" s="1" t="s">
        <v>166</v>
      </c>
      <c r="B28" s="1" t="s">
        <v>167</v>
      </c>
      <c r="C28" s="1" t="s">
        <v>164</v>
      </c>
      <c r="D28" s="1" t="s">
        <v>168</v>
      </c>
    </row>
    <row r="29" spans="1:6" x14ac:dyDescent="0.35">
      <c r="A29" s="1" t="s">
        <v>169</v>
      </c>
      <c r="B29" s="1" t="s">
        <v>170</v>
      </c>
      <c r="C29" s="1" t="s">
        <v>164</v>
      </c>
      <c r="D29" s="1" t="s">
        <v>171</v>
      </c>
      <c r="E29" t="s">
        <v>172</v>
      </c>
    </row>
    <row r="30" spans="1:6" x14ac:dyDescent="0.35">
      <c r="A30" s="1" t="s">
        <v>173</v>
      </c>
      <c r="B30" s="1" t="s">
        <v>174</v>
      </c>
      <c r="C30" s="1" t="s">
        <v>164</v>
      </c>
      <c r="D30" s="1" t="s">
        <v>175</v>
      </c>
      <c r="E30" t="s">
        <v>176</v>
      </c>
    </row>
    <row r="31" spans="1:6" x14ac:dyDescent="0.35">
      <c r="A31" s="1" t="s">
        <v>26</v>
      </c>
      <c r="B31" s="1" t="s">
        <v>177</v>
      </c>
      <c r="C31" s="1" t="s">
        <v>164</v>
      </c>
      <c r="D31" s="1" t="s">
        <v>178</v>
      </c>
    </row>
    <row r="32" spans="1:6" x14ac:dyDescent="0.35">
      <c r="A32" s="1" t="s">
        <v>88</v>
      </c>
      <c r="B32" s="1" t="s">
        <v>179</v>
      </c>
      <c r="C32" s="1" t="s">
        <v>136</v>
      </c>
      <c r="D32" s="1" t="s">
        <v>180</v>
      </c>
      <c r="E32">
        <v>0.1</v>
      </c>
      <c r="F32">
        <v>0</v>
      </c>
    </row>
    <row r="33" spans="1:6" x14ac:dyDescent="0.35">
      <c r="A33" s="1" t="s">
        <v>93</v>
      </c>
      <c r="B33" s="1" t="s">
        <v>181</v>
      </c>
      <c r="C33" s="1" t="s">
        <v>160</v>
      </c>
      <c r="D33" s="1" t="s">
        <v>182</v>
      </c>
      <c r="E33">
        <v>0</v>
      </c>
    </row>
    <row r="34" spans="1:6" x14ac:dyDescent="0.35">
      <c r="A34" s="1" t="s">
        <v>9</v>
      </c>
      <c r="B34" s="1" t="s">
        <v>183</v>
      </c>
      <c r="C34" s="1" t="s">
        <v>136</v>
      </c>
      <c r="D34" s="1" t="s">
        <v>184</v>
      </c>
      <c r="E34">
        <v>1E-3</v>
      </c>
      <c r="F34">
        <v>0</v>
      </c>
    </row>
    <row r="35" spans="1:6" x14ac:dyDescent="0.35">
      <c r="A35" s="1" t="s">
        <v>80</v>
      </c>
      <c r="B35" s="1" t="s">
        <v>185</v>
      </c>
      <c r="C35" s="1" t="s">
        <v>136</v>
      </c>
      <c r="D35" s="1" t="s">
        <v>180</v>
      </c>
      <c r="E35">
        <v>0.1</v>
      </c>
      <c r="F35">
        <v>0</v>
      </c>
    </row>
    <row r="36" spans="1:6" x14ac:dyDescent="0.35">
      <c r="A36" s="1" t="s">
        <v>23</v>
      </c>
      <c r="B36" s="1" t="s">
        <v>186</v>
      </c>
      <c r="C36" s="1" t="s">
        <v>160</v>
      </c>
      <c r="D36" s="1" t="s">
        <v>182</v>
      </c>
      <c r="E36">
        <v>0</v>
      </c>
    </row>
    <row r="37" spans="1:6" x14ac:dyDescent="0.35">
      <c r="A37" s="1" t="s">
        <v>89</v>
      </c>
      <c r="B37" s="1" t="s">
        <v>187</v>
      </c>
      <c r="C37" s="1" t="s">
        <v>160</v>
      </c>
      <c r="D37" s="1" t="s">
        <v>182</v>
      </c>
      <c r="E37">
        <v>0</v>
      </c>
    </row>
    <row r="38" spans="1:6" x14ac:dyDescent="0.35">
      <c r="A38" s="1" t="s">
        <v>35</v>
      </c>
      <c r="B38" s="1" t="s">
        <v>188</v>
      </c>
      <c r="C38" s="1" t="s">
        <v>136</v>
      </c>
      <c r="D38" s="1" t="s">
        <v>180</v>
      </c>
      <c r="E38">
        <v>0.1</v>
      </c>
      <c r="F38">
        <v>0</v>
      </c>
    </row>
    <row r="39" spans="1:6" x14ac:dyDescent="0.35">
      <c r="A39" s="1" t="s">
        <v>22</v>
      </c>
      <c r="B39" s="1" t="s">
        <v>189</v>
      </c>
      <c r="C39" s="1" t="s">
        <v>136</v>
      </c>
      <c r="D39" s="1" t="s">
        <v>184</v>
      </c>
      <c r="E39">
        <v>1E-3</v>
      </c>
      <c r="F39">
        <v>0</v>
      </c>
    </row>
    <row r="40" spans="1:6" x14ac:dyDescent="0.35">
      <c r="A40" s="1" t="s">
        <v>21</v>
      </c>
      <c r="B40" s="1" t="s">
        <v>190</v>
      </c>
      <c r="C40" s="1" t="s">
        <v>136</v>
      </c>
      <c r="D40" s="1" t="s">
        <v>184</v>
      </c>
      <c r="E40">
        <v>1E-3</v>
      </c>
      <c r="F40">
        <v>0</v>
      </c>
    </row>
    <row r="41" spans="1:6" x14ac:dyDescent="0.35">
      <c r="A41" s="1" t="s">
        <v>191</v>
      </c>
      <c r="B41" s="1" t="s">
        <v>192</v>
      </c>
      <c r="C41" s="1" t="s">
        <v>136</v>
      </c>
      <c r="D41" s="1" t="s">
        <v>184</v>
      </c>
      <c r="E41">
        <v>1E-3</v>
      </c>
      <c r="F41">
        <v>0</v>
      </c>
    </row>
    <row r="42" spans="1:6" x14ac:dyDescent="0.35">
      <c r="A42" s="1" t="s">
        <v>95</v>
      </c>
      <c r="B42" s="1" t="s">
        <v>193</v>
      </c>
      <c r="C42" s="1" t="s">
        <v>136</v>
      </c>
      <c r="D42" s="1" t="s">
        <v>180</v>
      </c>
      <c r="E42">
        <v>0.1</v>
      </c>
      <c r="F42">
        <v>0</v>
      </c>
    </row>
    <row r="43" spans="1:6" x14ac:dyDescent="0.35">
      <c r="A43" s="1" t="s">
        <v>34</v>
      </c>
      <c r="B43" s="1" t="s">
        <v>194</v>
      </c>
      <c r="C43" s="1" t="s">
        <v>136</v>
      </c>
      <c r="D43" s="1" t="s">
        <v>180</v>
      </c>
      <c r="E43">
        <v>0.1</v>
      </c>
      <c r="F43">
        <v>1</v>
      </c>
    </row>
    <row r="44" spans="1:6" x14ac:dyDescent="0.35">
      <c r="A44" s="1" t="s">
        <v>32</v>
      </c>
      <c r="B44" s="1" t="s">
        <v>195</v>
      </c>
      <c r="C44" s="1" t="s">
        <v>136</v>
      </c>
      <c r="D44" s="1" t="s">
        <v>180</v>
      </c>
      <c r="E44">
        <v>0.1</v>
      </c>
      <c r="F44">
        <v>0</v>
      </c>
    </row>
    <row r="45" spans="1:6" x14ac:dyDescent="0.35">
      <c r="A45" s="1" t="s">
        <v>10</v>
      </c>
      <c r="B45" s="1" t="s">
        <v>196</v>
      </c>
      <c r="C45" s="1" t="s">
        <v>136</v>
      </c>
      <c r="D45" s="1" t="s">
        <v>184</v>
      </c>
      <c r="E45">
        <v>1E-3</v>
      </c>
      <c r="F45">
        <v>7</v>
      </c>
    </row>
    <row r="46" spans="1:6" x14ac:dyDescent="0.35">
      <c r="A46" s="1" t="s">
        <v>33</v>
      </c>
      <c r="B46" s="1" t="s">
        <v>197</v>
      </c>
      <c r="C46" s="1" t="s">
        <v>160</v>
      </c>
      <c r="D46" s="1" t="s">
        <v>182</v>
      </c>
      <c r="E46">
        <v>0</v>
      </c>
    </row>
    <row r="47" spans="1:6" x14ac:dyDescent="0.35">
      <c r="A47" s="1" t="s">
        <v>82</v>
      </c>
      <c r="B47" s="1" t="s">
        <v>198</v>
      </c>
      <c r="C47" s="1" t="s">
        <v>136</v>
      </c>
      <c r="D47" s="1" t="s">
        <v>180</v>
      </c>
      <c r="E47">
        <v>0.1</v>
      </c>
      <c r="F47">
        <v>0</v>
      </c>
    </row>
    <row r="48" spans="1:6" x14ac:dyDescent="0.35">
      <c r="A48" s="1" t="s">
        <v>24</v>
      </c>
      <c r="B48" s="1" t="s">
        <v>199</v>
      </c>
      <c r="C48" s="1" t="s">
        <v>136</v>
      </c>
      <c r="D48" s="1" t="s">
        <v>140</v>
      </c>
      <c r="E48">
        <v>0.01</v>
      </c>
      <c r="F48">
        <v>32767</v>
      </c>
    </row>
    <row r="49" spans="1:6" x14ac:dyDescent="0.35">
      <c r="A49" s="1" t="s">
        <v>12</v>
      </c>
      <c r="B49" s="1" t="s">
        <v>200</v>
      </c>
      <c r="C49" s="1" t="s">
        <v>136</v>
      </c>
      <c r="D49" s="1" t="s">
        <v>140</v>
      </c>
      <c r="E49">
        <v>0.01</v>
      </c>
      <c r="F49">
        <v>32767</v>
      </c>
    </row>
    <row r="50" spans="1:6" x14ac:dyDescent="0.35">
      <c r="A50" s="1" t="s">
        <v>7</v>
      </c>
      <c r="B50" s="1" t="s">
        <v>201</v>
      </c>
      <c r="C50" s="1" t="s">
        <v>136</v>
      </c>
      <c r="D50" s="1" t="s">
        <v>140</v>
      </c>
      <c r="E50">
        <v>0.01</v>
      </c>
      <c r="F50">
        <v>2301</v>
      </c>
    </row>
    <row r="51" spans="1:6" x14ac:dyDescent="0.35">
      <c r="A51" s="1" t="s">
        <v>202</v>
      </c>
      <c r="B51" s="1" t="s">
        <v>203</v>
      </c>
      <c r="C51" s="1" t="s">
        <v>136</v>
      </c>
      <c r="D51" s="1" t="s">
        <v>204</v>
      </c>
      <c r="E51">
        <v>0.01</v>
      </c>
      <c r="F51">
        <v>0</v>
      </c>
    </row>
    <row r="52" spans="1:6" x14ac:dyDescent="0.35">
      <c r="A52" s="1" t="s">
        <v>205</v>
      </c>
      <c r="B52" s="1" t="s">
        <v>206</v>
      </c>
      <c r="C52" s="1" t="s">
        <v>136</v>
      </c>
      <c r="D52" s="1" t="s">
        <v>140</v>
      </c>
      <c r="E52">
        <v>0.01</v>
      </c>
      <c r="F52">
        <v>2315</v>
      </c>
    </row>
    <row r="53" spans="1:6" x14ac:dyDescent="0.35">
      <c r="A53" s="1" t="s">
        <v>207</v>
      </c>
      <c r="B53" s="1" t="s">
        <v>208</v>
      </c>
      <c r="C53" s="1" t="s">
        <v>136</v>
      </c>
      <c r="D53" s="1" t="s">
        <v>140</v>
      </c>
      <c r="E53">
        <v>0.01</v>
      </c>
      <c r="F53">
        <v>32767</v>
      </c>
    </row>
    <row r="54" spans="1:6" x14ac:dyDescent="0.35">
      <c r="A54" s="1" t="s">
        <v>209</v>
      </c>
      <c r="B54" s="1" t="s">
        <v>210</v>
      </c>
      <c r="C54" s="1" t="s">
        <v>136</v>
      </c>
      <c r="D54" s="1" t="s">
        <v>140</v>
      </c>
      <c r="E54">
        <v>0.01</v>
      </c>
      <c r="F54">
        <v>2315</v>
      </c>
    </row>
    <row r="55" spans="1:6" x14ac:dyDescent="0.35">
      <c r="A55" s="1" t="s">
        <v>211</v>
      </c>
      <c r="B55" s="1" t="s">
        <v>212</v>
      </c>
      <c r="C55" s="1" t="s">
        <v>136</v>
      </c>
      <c r="D55" s="1" t="s">
        <v>140</v>
      </c>
      <c r="E55">
        <v>0.01</v>
      </c>
      <c r="F55">
        <v>32767</v>
      </c>
    </row>
    <row r="56" spans="1:6" x14ac:dyDescent="0.35">
      <c r="A56" s="1" t="s">
        <v>20</v>
      </c>
      <c r="B56" s="1" t="s">
        <v>213</v>
      </c>
      <c r="C56" s="1" t="s">
        <v>136</v>
      </c>
      <c r="D56" s="1" t="s">
        <v>140</v>
      </c>
      <c r="E56">
        <v>0.01</v>
      </c>
      <c r="F56">
        <v>2334</v>
      </c>
    </row>
    <row r="57" spans="1:6" x14ac:dyDescent="0.35">
      <c r="A57" s="1" t="s">
        <v>214</v>
      </c>
      <c r="B57" s="1" t="s">
        <v>215</v>
      </c>
      <c r="C57" s="1" t="s">
        <v>136</v>
      </c>
      <c r="D57" s="1" t="s">
        <v>140</v>
      </c>
      <c r="E57">
        <v>0.01</v>
      </c>
      <c r="F57">
        <v>32767</v>
      </c>
    </row>
    <row r="58" spans="1:6" x14ac:dyDescent="0.35">
      <c r="A58" s="1" t="s">
        <v>216</v>
      </c>
      <c r="B58" s="1" t="s">
        <v>217</v>
      </c>
      <c r="C58" s="1" t="s">
        <v>136</v>
      </c>
      <c r="D58" s="1" t="s">
        <v>218</v>
      </c>
      <c r="E58">
        <v>0.01</v>
      </c>
      <c r="F58">
        <v>0</v>
      </c>
    </row>
    <row r="59" spans="1:6" x14ac:dyDescent="0.35">
      <c r="A59" s="1" t="s">
        <v>6</v>
      </c>
      <c r="B59" s="1" t="s">
        <v>219</v>
      </c>
      <c r="C59" s="1" t="s">
        <v>136</v>
      </c>
      <c r="D59" s="1" t="s">
        <v>218</v>
      </c>
      <c r="E59">
        <v>0.01</v>
      </c>
      <c r="F59">
        <v>0</v>
      </c>
    </row>
    <row r="60" spans="1:6" x14ac:dyDescent="0.35">
      <c r="A60" s="1" t="s">
        <v>220</v>
      </c>
      <c r="B60" s="1" t="s">
        <v>221</v>
      </c>
      <c r="C60" s="1" t="s">
        <v>136</v>
      </c>
      <c r="D60" s="1" t="s">
        <v>204</v>
      </c>
      <c r="E60">
        <v>0.01</v>
      </c>
      <c r="F60">
        <v>0</v>
      </c>
    </row>
    <row r="61" spans="1:6" x14ac:dyDescent="0.35">
      <c r="A61" s="1" t="s">
        <v>11</v>
      </c>
      <c r="B61" s="1" t="s">
        <v>222</v>
      </c>
      <c r="C61" s="1" t="s">
        <v>136</v>
      </c>
      <c r="D61" s="1" t="s">
        <v>140</v>
      </c>
      <c r="E61">
        <v>0.01</v>
      </c>
      <c r="F61">
        <v>1750</v>
      </c>
    </row>
    <row r="62" spans="1:6" x14ac:dyDescent="0.35">
      <c r="A62" s="1" t="s">
        <v>52</v>
      </c>
      <c r="B62" s="1" t="s">
        <v>223</v>
      </c>
      <c r="C62" s="1" t="s">
        <v>136</v>
      </c>
      <c r="D62" s="1" t="s">
        <v>140</v>
      </c>
      <c r="E62">
        <v>0.01</v>
      </c>
      <c r="F62">
        <v>2315</v>
      </c>
    </row>
    <row r="63" spans="1:6" x14ac:dyDescent="0.35">
      <c r="A63" s="1" t="s">
        <v>8</v>
      </c>
      <c r="B63" s="1" t="s">
        <v>224</v>
      </c>
      <c r="C63" s="1" t="s">
        <v>136</v>
      </c>
      <c r="D63" s="1" t="s">
        <v>140</v>
      </c>
      <c r="E63">
        <v>0.01</v>
      </c>
      <c r="F63">
        <v>2000</v>
      </c>
    </row>
    <row r="64" spans="1:6" x14ac:dyDescent="0.35">
      <c r="A64" s="1" t="s">
        <v>225</v>
      </c>
      <c r="B64" s="1" t="s">
        <v>226</v>
      </c>
      <c r="C64" s="1" t="s">
        <v>227</v>
      </c>
      <c r="D64" s="1" t="s">
        <v>228</v>
      </c>
      <c r="E64">
        <v>0</v>
      </c>
    </row>
    <row r="65" spans="1:6" x14ac:dyDescent="0.35">
      <c r="A65" s="1" t="s">
        <v>94</v>
      </c>
      <c r="B65" s="1" t="s">
        <v>229</v>
      </c>
      <c r="C65" s="1" t="s">
        <v>227</v>
      </c>
      <c r="D65" s="1" t="s">
        <v>180</v>
      </c>
      <c r="E65">
        <v>1</v>
      </c>
      <c r="F65">
        <v>0</v>
      </c>
    </row>
    <row r="66" spans="1:6" x14ac:dyDescent="0.35">
      <c r="A66" s="1" t="s">
        <v>92</v>
      </c>
      <c r="B66" s="1" t="s">
        <v>230</v>
      </c>
      <c r="C66" s="1" t="s">
        <v>227</v>
      </c>
      <c r="D66" s="1" t="s">
        <v>180</v>
      </c>
      <c r="E66">
        <v>1</v>
      </c>
      <c r="F66">
        <v>0</v>
      </c>
    </row>
    <row r="67" spans="1:6" x14ac:dyDescent="0.35">
      <c r="A67" s="1" t="s">
        <v>77</v>
      </c>
      <c r="B67" s="1" t="s">
        <v>231</v>
      </c>
      <c r="C67" s="1" t="s">
        <v>227</v>
      </c>
      <c r="D67" s="1" t="s">
        <v>180</v>
      </c>
      <c r="E67">
        <v>1</v>
      </c>
      <c r="F67">
        <v>0</v>
      </c>
    </row>
    <row r="68" spans="1:6" x14ac:dyDescent="0.35">
      <c r="A68" s="1" t="s">
        <v>232</v>
      </c>
      <c r="B68" s="1" t="s">
        <v>233</v>
      </c>
      <c r="C68" s="1" t="s">
        <v>227</v>
      </c>
      <c r="D68" s="1" t="s">
        <v>98</v>
      </c>
    </row>
    <row r="69" spans="1:6" x14ac:dyDescent="0.35">
      <c r="A69" s="1" t="s">
        <v>37</v>
      </c>
      <c r="B69" s="1" t="s">
        <v>234</v>
      </c>
      <c r="C69" s="1" t="s">
        <v>227</v>
      </c>
      <c r="D69" s="1" t="s">
        <v>180</v>
      </c>
      <c r="E69">
        <v>1</v>
      </c>
      <c r="F69">
        <v>1</v>
      </c>
    </row>
    <row r="70" spans="1:6" x14ac:dyDescent="0.35">
      <c r="A70" s="1" t="s">
        <v>38</v>
      </c>
      <c r="B70" s="1" t="s">
        <v>235</v>
      </c>
      <c r="C70" s="1" t="s">
        <v>227</v>
      </c>
      <c r="D70" s="1" t="s">
        <v>180</v>
      </c>
      <c r="E70">
        <v>1</v>
      </c>
      <c r="F70">
        <v>0</v>
      </c>
    </row>
    <row r="71" spans="1:6" x14ac:dyDescent="0.35">
      <c r="A71" s="1" t="s">
        <v>90</v>
      </c>
      <c r="B71" s="1" t="s">
        <v>236</v>
      </c>
      <c r="C71" s="1" t="s">
        <v>227</v>
      </c>
      <c r="D71" s="1" t="s">
        <v>180</v>
      </c>
      <c r="E71">
        <v>1</v>
      </c>
      <c r="F71">
        <v>0</v>
      </c>
    </row>
    <row r="72" spans="1:6" x14ac:dyDescent="0.35">
      <c r="A72" s="1" t="s">
        <v>36</v>
      </c>
      <c r="B72" s="1" t="s">
        <v>237</v>
      </c>
      <c r="C72" s="1" t="s">
        <v>227</v>
      </c>
      <c r="D72" s="1" t="s">
        <v>180</v>
      </c>
      <c r="E72">
        <v>1</v>
      </c>
      <c r="F72">
        <v>11</v>
      </c>
    </row>
    <row r="73" spans="1:6" x14ac:dyDescent="0.35">
      <c r="A73" s="1" t="s">
        <v>55</v>
      </c>
      <c r="B73" s="1" t="s">
        <v>238</v>
      </c>
      <c r="C73" s="1" t="s">
        <v>136</v>
      </c>
      <c r="D73" s="1" t="s">
        <v>140</v>
      </c>
      <c r="E73">
        <v>0.01</v>
      </c>
      <c r="F73">
        <v>1800</v>
      </c>
    </row>
    <row r="74" spans="1:6" x14ac:dyDescent="0.35">
      <c r="A74" s="1" t="s">
        <v>239</v>
      </c>
      <c r="B74" s="1" t="s">
        <v>240</v>
      </c>
      <c r="C74" s="1" t="s">
        <v>97</v>
      </c>
      <c r="D74" s="1" t="s">
        <v>98</v>
      </c>
    </row>
    <row r="75" spans="1:6" x14ac:dyDescent="0.35">
      <c r="A75" s="1" t="s">
        <v>241</v>
      </c>
      <c r="B75" s="1" t="s">
        <v>242</v>
      </c>
      <c r="C75" s="1" t="s">
        <v>136</v>
      </c>
      <c r="D75" s="1" t="s">
        <v>140</v>
      </c>
      <c r="E75">
        <v>0.01</v>
      </c>
      <c r="F75">
        <v>2334</v>
      </c>
    </row>
    <row r="76" spans="1:6" x14ac:dyDescent="0.35">
      <c r="A76" s="1" t="s">
        <v>243</v>
      </c>
      <c r="B76" s="1" t="s">
        <v>244</v>
      </c>
      <c r="C76" s="1" t="s">
        <v>97</v>
      </c>
      <c r="D76" s="1" t="s">
        <v>245</v>
      </c>
    </row>
    <row r="77" spans="1:6" x14ac:dyDescent="0.35">
      <c r="A77" s="1" t="s">
        <v>246</v>
      </c>
      <c r="B77" s="1" t="s">
        <v>247</v>
      </c>
      <c r="C77" s="1" t="s">
        <v>136</v>
      </c>
      <c r="D77" s="1" t="s">
        <v>140</v>
      </c>
      <c r="E77">
        <v>0.01</v>
      </c>
      <c r="F77">
        <v>1750</v>
      </c>
    </row>
    <row r="78" spans="1:6" x14ac:dyDescent="0.35">
      <c r="A78" s="1" t="s">
        <v>83</v>
      </c>
      <c r="B78" s="1" t="s">
        <v>248</v>
      </c>
      <c r="C78" s="1" t="s">
        <v>160</v>
      </c>
      <c r="D78" s="1" t="s">
        <v>161</v>
      </c>
    </row>
    <row r="79" spans="1:6" x14ac:dyDescent="0.35">
      <c r="A79" s="1" t="s">
        <v>51</v>
      </c>
      <c r="B79" s="1" t="s">
        <v>249</v>
      </c>
      <c r="C79" s="1" t="s">
        <v>136</v>
      </c>
      <c r="D79" s="1" t="s">
        <v>250</v>
      </c>
      <c r="E79">
        <v>0.01</v>
      </c>
      <c r="F79">
        <v>1395</v>
      </c>
    </row>
    <row r="80" spans="1:6" x14ac:dyDescent="0.35">
      <c r="A80" s="1" t="s">
        <v>251</v>
      </c>
      <c r="B80" s="1" t="s">
        <v>252</v>
      </c>
      <c r="C80" s="1" t="s">
        <v>136</v>
      </c>
      <c r="D80" s="1" t="s">
        <v>253</v>
      </c>
      <c r="E80">
        <v>1E-3</v>
      </c>
      <c r="F80">
        <v>0</v>
      </c>
    </row>
    <row r="81" spans="1:6" x14ac:dyDescent="0.35">
      <c r="A81" s="1" t="s">
        <v>254</v>
      </c>
      <c r="B81" s="1" t="s">
        <v>255</v>
      </c>
      <c r="C81" s="1" t="s">
        <v>160</v>
      </c>
      <c r="D81" s="1" t="s">
        <v>256</v>
      </c>
    </row>
    <row r="82" spans="1:6" x14ac:dyDescent="0.35">
      <c r="A82" s="1" t="s">
        <v>60</v>
      </c>
      <c r="B82" s="1" t="s">
        <v>257</v>
      </c>
      <c r="C82" s="1" t="s">
        <v>136</v>
      </c>
      <c r="D82" s="1" t="s">
        <v>137</v>
      </c>
      <c r="E82">
        <v>0.01</v>
      </c>
      <c r="F82">
        <v>0</v>
      </c>
    </row>
    <row r="83" spans="1:6" x14ac:dyDescent="0.35">
      <c r="A83" s="1" t="s">
        <v>59</v>
      </c>
      <c r="B83" s="1" t="s">
        <v>258</v>
      </c>
      <c r="C83" s="1" t="s">
        <v>136</v>
      </c>
      <c r="D83" s="1" t="s">
        <v>137</v>
      </c>
      <c r="E83">
        <v>0.01</v>
      </c>
      <c r="F83">
        <v>0</v>
      </c>
    </row>
    <row r="84" spans="1:6" x14ac:dyDescent="0.35">
      <c r="A84" s="1" t="s">
        <v>50</v>
      </c>
      <c r="B84" s="1" t="s">
        <v>259</v>
      </c>
      <c r="C84" s="1" t="s">
        <v>136</v>
      </c>
      <c r="D84" s="1" t="s">
        <v>250</v>
      </c>
      <c r="E84">
        <v>0.01</v>
      </c>
      <c r="F84">
        <v>1395</v>
      </c>
    </row>
    <row r="85" spans="1:6" x14ac:dyDescent="0.35">
      <c r="A85" s="1" t="s">
        <v>260</v>
      </c>
      <c r="B85" s="1" t="s">
        <v>261</v>
      </c>
      <c r="C85" s="1" t="s">
        <v>97</v>
      </c>
      <c r="D85" s="1" t="s">
        <v>98</v>
      </c>
    </row>
    <row r="86" spans="1:6" x14ac:dyDescent="0.35">
      <c r="A86" s="1" t="s">
        <v>56</v>
      </c>
      <c r="B86" s="1" t="s">
        <v>262</v>
      </c>
      <c r="C86" s="1" t="s">
        <v>136</v>
      </c>
      <c r="D86" s="1" t="s">
        <v>140</v>
      </c>
      <c r="E86">
        <v>0.01</v>
      </c>
      <c r="F86">
        <v>1800</v>
      </c>
    </row>
    <row r="87" spans="1:6" x14ac:dyDescent="0.35">
      <c r="A87" s="1" t="s">
        <v>63</v>
      </c>
      <c r="B87" s="1" t="s">
        <v>263</v>
      </c>
      <c r="C87" s="1" t="s">
        <v>97</v>
      </c>
      <c r="D87" s="1" t="s">
        <v>98</v>
      </c>
    </row>
    <row r="88" spans="1:6" x14ac:dyDescent="0.35">
      <c r="A88" s="1" t="s">
        <v>264</v>
      </c>
      <c r="B88" s="1" t="s">
        <v>265</v>
      </c>
      <c r="C88" s="1" t="s">
        <v>136</v>
      </c>
      <c r="D88" s="1" t="s">
        <v>140</v>
      </c>
      <c r="E88">
        <v>0.01</v>
      </c>
      <c r="F88">
        <v>2315</v>
      </c>
    </row>
    <row r="89" spans="1:6" x14ac:dyDescent="0.35">
      <c r="A89" s="1" t="s">
        <v>54</v>
      </c>
      <c r="B89" s="1" t="s">
        <v>266</v>
      </c>
      <c r="C89" s="1" t="s">
        <v>136</v>
      </c>
      <c r="D89" s="1" t="s">
        <v>140</v>
      </c>
      <c r="E89">
        <v>0.01</v>
      </c>
      <c r="F89">
        <v>1800</v>
      </c>
    </row>
    <row r="90" spans="1:6" x14ac:dyDescent="0.35">
      <c r="A90" s="1" t="s">
        <v>267</v>
      </c>
      <c r="B90" s="1" t="s">
        <v>268</v>
      </c>
      <c r="C90" s="1" t="s">
        <v>97</v>
      </c>
      <c r="D90" s="1" t="s">
        <v>228</v>
      </c>
      <c r="E90">
        <v>4921</v>
      </c>
    </row>
    <row r="91" spans="1:6" x14ac:dyDescent="0.35">
      <c r="A91" s="1" t="s">
        <v>78</v>
      </c>
      <c r="B91" s="1" t="s">
        <v>269</v>
      </c>
      <c r="C91" s="1" t="s">
        <v>227</v>
      </c>
      <c r="D91" s="1" t="s">
        <v>98</v>
      </c>
    </row>
    <row r="92" spans="1:6" x14ac:dyDescent="0.35">
      <c r="A92" s="1" t="s">
        <v>44</v>
      </c>
      <c r="B92" s="1" t="s">
        <v>270</v>
      </c>
      <c r="C92" s="1" t="s">
        <v>227</v>
      </c>
      <c r="D92" s="1" t="s">
        <v>98</v>
      </c>
    </row>
    <row r="93" spans="1:6" x14ac:dyDescent="0.35">
      <c r="A93" s="1" t="s">
        <v>41</v>
      </c>
      <c r="B93" s="1" t="s">
        <v>271</v>
      </c>
      <c r="C93" s="1" t="s">
        <v>227</v>
      </c>
      <c r="D93" s="1" t="s">
        <v>228</v>
      </c>
      <c r="E93">
        <v>0</v>
      </c>
    </row>
    <row r="94" spans="1:6" x14ac:dyDescent="0.35">
      <c r="A94" s="1" t="s">
        <v>79</v>
      </c>
      <c r="B94" s="1" t="s">
        <v>272</v>
      </c>
      <c r="C94" s="1" t="s">
        <v>227</v>
      </c>
      <c r="D94" s="1" t="s">
        <v>228</v>
      </c>
      <c r="E94">
        <v>0</v>
      </c>
    </row>
    <row r="95" spans="1:6" x14ac:dyDescent="0.35">
      <c r="A95" s="1" t="s">
        <v>45</v>
      </c>
      <c r="B95" s="1" t="s">
        <v>273</v>
      </c>
      <c r="C95" s="1" t="s">
        <v>227</v>
      </c>
      <c r="D95" s="1" t="s">
        <v>98</v>
      </c>
    </row>
    <row r="96" spans="1:6" x14ac:dyDescent="0.35">
      <c r="A96" s="1" t="s">
        <v>39</v>
      </c>
      <c r="B96" s="1" t="s">
        <v>274</v>
      </c>
      <c r="C96" s="1" t="s">
        <v>227</v>
      </c>
      <c r="D96" s="1" t="s">
        <v>275</v>
      </c>
    </row>
    <row r="97" spans="1:6" x14ac:dyDescent="0.35">
      <c r="A97" s="1" t="s">
        <v>276</v>
      </c>
      <c r="B97" s="1" t="s">
        <v>277</v>
      </c>
      <c r="C97" s="1" t="s">
        <v>97</v>
      </c>
      <c r="D97" s="1" t="s">
        <v>228</v>
      </c>
      <c r="E97">
        <v>143</v>
      </c>
    </row>
    <row r="98" spans="1:6" x14ac:dyDescent="0.35">
      <c r="A98" s="1" t="s">
        <v>278</v>
      </c>
      <c r="B98" s="1" t="s">
        <v>279</v>
      </c>
      <c r="C98" s="1" t="s">
        <v>97</v>
      </c>
      <c r="D98" s="1" t="s">
        <v>280</v>
      </c>
    </row>
    <row r="99" spans="1:6" x14ac:dyDescent="0.35">
      <c r="A99" s="1" t="s">
        <v>40</v>
      </c>
      <c r="B99" s="1" t="s">
        <v>281</v>
      </c>
      <c r="C99" s="1" t="s">
        <v>227</v>
      </c>
      <c r="D99" s="1" t="s">
        <v>228</v>
      </c>
      <c r="E99">
        <v>2</v>
      </c>
    </row>
    <row r="100" spans="1:6" x14ac:dyDescent="0.35">
      <c r="A100" s="1" t="s">
        <v>282</v>
      </c>
      <c r="B100" s="1" t="s">
        <v>283</v>
      </c>
      <c r="C100" s="1" t="s">
        <v>136</v>
      </c>
      <c r="D100" s="1" t="s">
        <v>145</v>
      </c>
      <c r="E100">
        <v>0</v>
      </c>
    </row>
    <row r="101" spans="1:6" x14ac:dyDescent="0.35">
      <c r="A101" s="1" t="s">
        <v>284</v>
      </c>
      <c r="B101" s="1" t="s">
        <v>285</v>
      </c>
      <c r="C101" s="1" t="s">
        <v>136</v>
      </c>
      <c r="D101" s="1" t="s">
        <v>137</v>
      </c>
      <c r="E101">
        <v>0.01</v>
      </c>
      <c r="F101">
        <v>0</v>
      </c>
    </row>
    <row r="102" spans="1:6" x14ac:dyDescent="0.35">
      <c r="A102" s="1" t="s">
        <v>286</v>
      </c>
      <c r="B102" s="1" t="s">
        <v>287</v>
      </c>
      <c r="C102" s="1" t="s">
        <v>136</v>
      </c>
      <c r="D102" s="1" t="s">
        <v>137</v>
      </c>
      <c r="E102">
        <v>0.01</v>
      </c>
      <c r="F102">
        <v>0</v>
      </c>
    </row>
    <row r="103" spans="1:6" x14ac:dyDescent="0.35">
      <c r="A103" s="1" t="s">
        <v>288</v>
      </c>
      <c r="B103" s="1" t="s">
        <v>289</v>
      </c>
      <c r="C103" s="1" t="s">
        <v>160</v>
      </c>
      <c r="D103" s="1" t="s">
        <v>161</v>
      </c>
    </row>
    <row r="104" spans="1:6" x14ac:dyDescent="0.35">
      <c r="A104" s="1" t="s">
        <v>290</v>
      </c>
      <c r="B104" s="1" t="s">
        <v>291</v>
      </c>
      <c r="C104" s="1" t="s">
        <v>136</v>
      </c>
      <c r="D104" s="1" t="s">
        <v>140</v>
      </c>
      <c r="E104">
        <v>0.01</v>
      </c>
      <c r="F104">
        <v>0</v>
      </c>
    </row>
    <row r="105" spans="1:6" x14ac:dyDescent="0.35">
      <c r="A105" s="1" t="s">
        <v>292</v>
      </c>
      <c r="B105" s="1" t="s">
        <v>293</v>
      </c>
      <c r="C105" s="1" t="s">
        <v>136</v>
      </c>
      <c r="D105" s="1" t="s">
        <v>137</v>
      </c>
      <c r="E105">
        <v>0.01</v>
      </c>
      <c r="F105">
        <v>0</v>
      </c>
    </row>
    <row r="106" spans="1:6" x14ac:dyDescent="0.35">
      <c r="A106" s="1" t="s">
        <v>294</v>
      </c>
      <c r="B106" s="1" t="s">
        <v>295</v>
      </c>
      <c r="C106" s="1" t="s">
        <v>136</v>
      </c>
      <c r="D106" s="1" t="s">
        <v>140</v>
      </c>
      <c r="E106">
        <v>0.01</v>
      </c>
      <c r="F106">
        <v>0</v>
      </c>
    </row>
    <row r="107" spans="1:6" x14ac:dyDescent="0.35">
      <c r="A107" s="1" t="s">
        <v>296</v>
      </c>
      <c r="B107" s="1" t="s">
        <v>297</v>
      </c>
      <c r="C107" s="1" t="s">
        <v>136</v>
      </c>
      <c r="D107" s="1" t="s">
        <v>145</v>
      </c>
      <c r="E107">
        <v>0</v>
      </c>
    </row>
    <row r="108" spans="1:6" x14ac:dyDescent="0.35">
      <c r="A108" s="1" t="s">
        <v>298</v>
      </c>
      <c r="B108" s="1" t="s">
        <v>299</v>
      </c>
      <c r="C108" s="1" t="s">
        <v>136</v>
      </c>
      <c r="D108" s="1" t="s">
        <v>140</v>
      </c>
      <c r="E108">
        <v>0.01</v>
      </c>
      <c r="F108">
        <v>0</v>
      </c>
    </row>
    <row r="109" spans="1:6" x14ac:dyDescent="0.35">
      <c r="A109" s="1" t="s">
        <v>300</v>
      </c>
      <c r="B109" s="1" t="s">
        <v>301</v>
      </c>
      <c r="C109" s="1" t="s">
        <v>136</v>
      </c>
      <c r="D109" s="1" t="s">
        <v>140</v>
      </c>
      <c r="E109">
        <v>0.01</v>
      </c>
      <c r="F109">
        <v>0</v>
      </c>
    </row>
    <row r="110" spans="1:6" x14ac:dyDescent="0.35">
      <c r="A110" s="1" t="s">
        <v>302</v>
      </c>
      <c r="B110" s="1" t="s">
        <v>303</v>
      </c>
      <c r="C110" s="1" t="s">
        <v>136</v>
      </c>
      <c r="D110" s="1" t="s">
        <v>140</v>
      </c>
      <c r="E110">
        <v>0.01</v>
      </c>
      <c r="F110">
        <v>0</v>
      </c>
    </row>
    <row r="111" spans="1:6" x14ac:dyDescent="0.35">
      <c r="A111" s="1" t="s">
        <v>304</v>
      </c>
      <c r="B111" s="1" t="s">
        <v>305</v>
      </c>
      <c r="C111" s="1" t="s">
        <v>136</v>
      </c>
      <c r="D111" s="1" t="s">
        <v>253</v>
      </c>
      <c r="E111">
        <v>1E-3</v>
      </c>
      <c r="F111">
        <v>0</v>
      </c>
    </row>
    <row r="112" spans="1:6" x14ac:dyDescent="0.35">
      <c r="A112" s="1" t="s">
        <v>69</v>
      </c>
      <c r="B112" s="1" t="s">
        <v>306</v>
      </c>
      <c r="C112" s="1" t="s">
        <v>136</v>
      </c>
      <c r="D112" s="1" t="s">
        <v>140</v>
      </c>
      <c r="E112">
        <v>0.01</v>
      </c>
      <c r="F112">
        <v>2395</v>
      </c>
    </row>
    <row r="113" spans="1:6" x14ac:dyDescent="0.35">
      <c r="A113" s="1" t="s">
        <v>307</v>
      </c>
      <c r="B113" s="1" t="s">
        <v>308</v>
      </c>
      <c r="C113" s="1" t="s">
        <v>160</v>
      </c>
      <c r="D113" s="1" t="s">
        <v>98</v>
      </c>
    </row>
    <row r="114" spans="1:6" x14ac:dyDescent="0.35">
      <c r="A114" s="1" t="s">
        <v>58</v>
      </c>
      <c r="B114" s="1" t="s">
        <v>309</v>
      </c>
      <c r="C114" s="1" t="s">
        <v>136</v>
      </c>
      <c r="D114" s="1" t="s">
        <v>140</v>
      </c>
      <c r="E114">
        <v>0.01</v>
      </c>
      <c r="F114">
        <v>-515</v>
      </c>
    </row>
    <row r="115" spans="1:6" x14ac:dyDescent="0.35">
      <c r="A115" s="1" t="s">
        <v>310</v>
      </c>
      <c r="B115" s="1" t="s">
        <v>311</v>
      </c>
      <c r="C115" s="1" t="s">
        <v>160</v>
      </c>
      <c r="D115" s="1" t="s">
        <v>98</v>
      </c>
    </row>
    <row r="116" spans="1:6" x14ac:dyDescent="0.35">
      <c r="A116" s="1" t="s">
        <v>68</v>
      </c>
      <c r="B116" s="1" t="s">
        <v>312</v>
      </c>
      <c r="C116" s="1" t="s">
        <v>136</v>
      </c>
      <c r="D116" s="1" t="s">
        <v>140</v>
      </c>
      <c r="E116">
        <v>0.01</v>
      </c>
      <c r="F116">
        <v>0</v>
      </c>
    </row>
    <row r="117" spans="1:6" x14ac:dyDescent="0.35">
      <c r="A117" s="1" t="s">
        <v>62</v>
      </c>
      <c r="B117" s="1" t="s">
        <v>313</v>
      </c>
      <c r="C117" s="1" t="s">
        <v>136</v>
      </c>
      <c r="D117" s="1" t="s">
        <v>145</v>
      </c>
      <c r="E117">
        <v>0</v>
      </c>
    </row>
    <row r="118" spans="1:6" x14ac:dyDescent="0.35">
      <c r="A118" s="1" t="s">
        <v>64</v>
      </c>
      <c r="B118" s="1" t="s">
        <v>314</v>
      </c>
      <c r="C118" s="1" t="s">
        <v>136</v>
      </c>
      <c r="D118" s="1" t="s">
        <v>315</v>
      </c>
      <c r="E118">
        <v>500</v>
      </c>
    </row>
    <row r="119" spans="1:6" x14ac:dyDescent="0.35">
      <c r="A119" s="1" t="s">
        <v>61</v>
      </c>
      <c r="B119" s="1" t="s">
        <v>316</v>
      </c>
      <c r="C119" s="1" t="s">
        <v>136</v>
      </c>
      <c r="D119" s="1" t="s">
        <v>145</v>
      </c>
      <c r="E119">
        <v>0</v>
      </c>
    </row>
    <row r="120" spans="1:6" x14ac:dyDescent="0.35">
      <c r="A120" s="1" t="s">
        <v>317</v>
      </c>
      <c r="B120" s="1" t="s">
        <v>318</v>
      </c>
      <c r="C120" s="1" t="s">
        <v>160</v>
      </c>
      <c r="D120" s="1" t="s">
        <v>98</v>
      </c>
    </row>
    <row r="121" spans="1:6" x14ac:dyDescent="0.35">
      <c r="A121" s="1" t="s">
        <v>319</v>
      </c>
      <c r="B121" s="1" t="s">
        <v>320</v>
      </c>
      <c r="C121" s="1" t="s">
        <v>136</v>
      </c>
      <c r="D121" s="1" t="s">
        <v>321</v>
      </c>
      <c r="E121">
        <v>0.1</v>
      </c>
      <c r="F121">
        <v>2200</v>
      </c>
    </row>
    <row r="122" spans="1:6" x14ac:dyDescent="0.35">
      <c r="A122" s="1" t="s">
        <v>322</v>
      </c>
      <c r="B122" s="1" t="s">
        <v>323</v>
      </c>
      <c r="C122" s="1" t="s">
        <v>97</v>
      </c>
      <c r="D122" s="1" t="s">
        <v>98</v>
      </c>
    </row>
    <row r="123" spans="1:6" x14ac:dyDescent="0.35">
      <c r="A123" s="1" t="s">
        <v>324</v>
      </c>
      <c r="B123" s="1" t="s">
        <v>325</v>
      </c>
      <c r="C123" s="1" t="s">
        <v>136</v>
      </c>
      <c r="D123" s="1" t="s">
        <v>140</v>
      </c>
      <c r="E123">
        <v>0.01</v>
      </c>
      <c r="F123">
        <v>3380</v>
      </c>
    </row>
    <row r="124" spans="1:6" x14ac:dyDescent="0.35">
      <c r="A124" s="1" t="s">
        <v>326</v>
      </c>
      <c r="B124" s="1" t="s">
        <v>327</v>
      </c>
      <c r="C124" s="1" t="s">
        <v>160</v>
      </c>
      <c r="D124" s="1" t="s">
        <v>98</v>
      </c>
    </row>
    <row r="125" spans="1:6" x14ac:dyDescent="0.35">
      <c r="A125" s="1" t="s">
        <v>70</v>
      </c>
      <c r="B125" s="1" t="s">
        <v>328</v>
      </c>
      <c r="C125" s="1" t="s">
        <v>136</v>
      </c>
      <c r="D125" s="1" t="s">
        <v>140</v>
      </c>
      <c r="E125">
        <v>0.01</v>
      </c>
      <c r="F125">
        <v>2404</v>
      </c>
    </row>
    <row r="126" spans="1:6" x14ac:dyDescent="0.35">
      <c r="A126" s="1" t="s">
        <v>329</v>
      </c>
      <c r="B126" s="1" t="s">
        <v>330</v>
      </c>
      <c r="C126" s="1" t="s">
        <v>136</v>
      </c>
      <c r="D126" s="1" t="s">
        <v>145</v>
      </c>
      <c r="E126">
        <v>0</v>
      </c>
    </row>
    <row r="127" spans="1:6" x14ac:dyDescent="0.35">
      <c r="A127" s="1" t="s">
        <v>57</v>
      </c>
      <c r="B127" s="1" t="s">
        <v>331</v>
      </c>
      <c r="C127" s="1" t="s">
        <v>136</v>
      </c>
      <c r="D127" s="1" t="s">
        <v>140</v>
      </c>
      <c r="E127">
        <v>0.01</v>
      </c>
      <c r="F127">
        <v>0</v>
      </c>
    </row>
    <row r="128" spans="1:6" x14ac:dyDescent="0.35">
      <c r="A128" s="1" t="s">
        <v>332</v>
      </c>
      <c r="B128" s="1" t="s">
        <v>333</v>
      </c>
      <c r="C128" s="1" t="s">
        <v>136</v>
      </c>
      <c r="D128" s="1" t="s">
        <v>321</v>
      </c>
      <c r="E128">
        <v>0.1</v>
      </c>
      <c r="F128">
        <v>0</v>
      </c>
    </row>
    <row r="129" spans="1:6" x14ac:dyDescent="0.35">
      <c r="A129" s="1" t="s">
        <v>334</v>
      </c>
      <c r="B129" s="1" t="s">
        <v>335</v>
      </c>
      <c r="C129" s="1" t="s">
        <v>97</v>
      </c>
      <c r="D129" s="1" t="s">
        <v>145</v>
      </c>
      <c r="E129">
        <v>0</v>
      </c>
    </row>
    <row r="130" spans="1:6" x14ac:dyDescent="0.35">
      <c r="A130" s="1" t="s">
        <v>336</v>
      </c>
      <c r="B130" s="1" t="s">
        <v>337</v>
      </c>
      <c r="C130" s="1" t="s">
        <v>97</v>
      </c>
      <c r="D130" s="1" t="s">
        <v>145</v>
      </c>
      <c r="E130">
        <v>0</v>
      </c>
    </row>
    <row r="131" spans="1:6" x14ac:dyDescent="0.35">
      <c r="A131" s="1" t="s">
        <v>338</v>
      </c>
      <c r="B131" s="1" t="s">
        <v>339</v>
      </c>
      <c r="C131" s="1" t="s">
        <v>97</v>
      </c>
      <c r="D131" s="1" t="s">
        <v>98</v>
      </c>
    </row>
    <row r="132" spans="1:6" x14ac:dyDescent="0.35">
      <c r="A132" s="1" t="s">
        <v>340</v>
      </c>
      <c r="B132" s="1" t="s">
        <v>341</v>
      </c>
      <c r="C132" s="1" t="s">
        <v>136</v>
      </c>
      <c r="D132" s="1" t="s">
        <v>140</v>
      </c>
      <c r="E132">
        <v>0.01</v>
      </c>
      <c r="F132">
        <v>32767</v>
      </c>
    </row>
    <row r="133" spans="1:6" x14ac:dyDescent="0.35">
      <c r="A133" s="1" t="s">
        <v>342</v>
      </c>
      <c r="B133" s="1" t="s">
        <v>343</v>
      </c>
      <c r="C133" s="1" t="s">
        <v>136</v>
      </c>
      <c r="D133" s="1" t="s">
        <v>140</v>
      </c>
      <c r="E133">
        <v>0.01</v>
      </c>
      <c r="F133">
        <v>32767</v>
      </c>
    </row>
    <row r="134" spans="1:6" x14ac:dyDescent="0.35">
      <c r="A134" s="1" t="s">
        <v>344</v>
      </c>
      <c r="B134" s="1" t="s">
        <v>345</v>
      </c>
      <c r="C134" s="1" t="s">
        <v>97</v>
      </c>
      <c r="D134" s="1" t="s">
        <v>145</v>
      </c>
      <c r="E134">
        <v>0</v>
      </c>
    </row>
    <row r="135" spans="1:6" x14ac:dyDescent="0.35">
      <c r="A135" s="1" t="s">
        <v>346</v>
      </c>
      <c r="B135" s="1" t="s">
        <v>347</v>
      </c>
      <c r="C135" s="1" t="s">
        <v>136</v>
      </c>
      <c r="D135" s="1" t="s">
        <v>140</v>
      </c>
      <c r="E135">
        <v>0.01</v>
      </c>
      <c r="F135">
        <v>0</v>
      </c>
    </row>
    <row r="136" spans="1:6" x14ac:dyDescent="0.35">
      <c r="A136" s="1" t="s">
        <v>348</v>
      </c>
      <c r="B136" s="1" t="s">
        <v>349</v>
      </c>
      <c r="C136" s="1" t="s">
        <v>97</v>
      </c>
      <c r="D136" s="1" t="s">
        <v>98</v>
      </c>
    </row>
    <row r="137" spans="1:6" x14ac:dyDescent="0.35">
      <c r="A137" s="1" t="s">
        <v>350</v>
      </c>
      <c r="B137" s="1" t="s">
        <v>351</v>
      </c>
      <c r="C137" s="1" t="s">
        <v>136</v>
      </c>
      <c r="D137" s="1" t="s">
        <v>321</v>
      </c>
      <c r="E137">
        <v>0.01</v>
      </c>
      <c r="F137">
        <v>0</v>
      </c>
    </row>
    <row r="138" spans="1:6" x14ac:dyDescent="0.35">
      <c r="A138" s="1" t="s">
        <v>352</v>
      </c>
      <c r="B138" s="1" t="s">
        <v>353</v>
      </c>
      <c r="C138" s="1" t="s">
        <v>97</v>
      </c>
      <c r="D138" s="1" t="s">
        <v>98</v>
      </c>
    </row>
    <row r="139" spans="1:6" x14ac:dyDescent="0.35">
      <c r="A139" s="1" t="s">
        <v>354</v>
      </c>
      <c r="B139" s="1" t="s">
        <v>355</v>
      </c>
      <c r="C139" s="1" t="s">
        <v>136</v>
      </c>
      <c r="D139" s="1" t="s">
        <v>140</v>
      </c>
      <c r="E139">
        <v>0.01</v>
      </c>
      <c r="F139">
        <v>32767</v>
      </c>
    </row>
    <row r="140" spans="1:6" x14ac:dyDescent="0.35">
      <c r="A140" s="1" t="s">
        <v>356</v>
      </c>
      <c r="B140" s="1" t="s">
        <v>357</v>
      </c>
      <c r="C140" s="1" t="s">
        <v>97</v>
      </c>
      <c r="D140" s="1" t="s">
        <v>358</v>
      </c>
      <c r="E140">
        <v>0</v>
      </c>
    </row>
    <row r="141" spans="1:6" x14ac:dyDescent="0.35">
      <c r="A141" s="1" t="s">
        <v>359</v>
      </c>
      <c r="B141" s="1" t="s">
        <v>360</v>
      </c>
      <c r="C141" s="1" t="s">
        <v>97</v>
      </c>
      <c r="D141" s="1" t="s">
        <v>145</v>
      </c>
      <c r="E141">
        <v>0</v>
      </c>
    </row>
    <row r="142" spans="1:6" x14ac:dyDescent="0.35">
      <c r="A142" s="1" t="s">
        <v>361</v>
      </c>
      <c r="B142" s="1" t="s">
        <v>362</v>
      </c>
      <c r="C142" s="1" t="s">
        <v>160</v>
      </c>
      <c r="D142" s="1" t="s">
        <v>98</v>
      </c>
    </row>
    <row r="143" spans="1:6" x14ac:dyDescent="0.35">
      <c r="A143" s="1" t="s">
        <v>363</v>
      </c>
      <c r="B143" s="1" t="s">
        <v>364</v>
      </c>
      <c r="C143" s="1" t="s">
        <v>97</v>
      </c>
      <c r="D143" s="1" t="s">
        <v>98</v>
      </c>
    </row>
    <row r="144" spans="1:6" x14ac:dyDescent="0.35">
      <c r="A144" s="1" t="s">
        <v>365</v>
      </c>
      <c r="B144" s="1" t="s">
        <v>366</v>
      </c>
      <c r="C144" s="1" t="s">
        <v>97</v>
      </c>
      <c r="D144" s="1" t="s">
        <v>367</v>
      </c>
      <c r="E144">
        <v>1E-4</v>
      </c>
      <c r="F144">
        <v>0</v>
      </c>
    </row>
    <row r="145" spans="1:6" x14ac:dyDescent="0.35">
      <c r="A145" s="1" t="s">
        <v>368</v>
      </c>
      <c r="B145" s="1" t="s">
        <v>369</v>
      </c>
      <c r="C145" s="1" t="s">
        <v>160</v>
      </c>
      <c r="D145" s="1" t="s">
        <v>98</v>
      </c>
    </row>
    <row r="146" spans="1:6" x14ac:dyDescent="0.35">
      <c r="A146" s="1" t="s">
        <v>370</v>
      </c>
      <c r="B146" s="1" t="s">
        <v>371</v>
      </c>
      <c r="C146" s="1" t="s">
        <v>160</v>
      </c>
      <c r="D146" s="1" t="s">
        <v>228</v>
      </c>
      <c r="E146">
        <v>0</v>
      </c>
    </row>
    <row r="147" spans="1:6" x14ac:dyDescent="0.35">
      <c r="A147" s="1" t="s">
        <v>43</v>
      </c>
      <c r="B147" s="1" t="s">
        <v>372</v>
      </c>
      <c r="C147" s="1" t="s">
        <v>97</v>
      </c>
      <c r="D147" s="1" t="s">
        <v>373</v>
      </c>
    </row>
    <row r="148" spans="1:6" x14ac:dyDescent="0.35">
      <c r="A148" s="1" t="s">
        <v>374</v>
      </c>
      <c r="B148" s="1" t="s">
        <v>375</v>
      </c>
      <c r="C148" s="1" t="s">
        <v>97</v>
      </c>
      <c r="D148" s="1" t="s">
        <v>98</v>
      </c>
    </row>
    <row r="149" spans="1:6" x14ac:dyDescent="0.35">
      <c r="A149" s="1" t="s">
        <v>376</v>
      </c>
      <c r="B149" s="1" t="s">
        <v>377</v>
      </c>
      <c r="C149" s="1" t="s">
        <v>160</v>
      </c>
      <c r="D149" s="1" t="s">
        <v>98</v>
      </c>
    </row>
    <row r="150" spans="1:6" x14ac:dyDescent="0.35">
      <c r="A150" s="1" t="s">
        <v>378</v>
      </c>
      <c r="B150" s="1" t="s">
        <v>379</v>
      </c>
      <c r="C150" s="1" t="s">
        <v>380</v>
      </c>
      <c r="D150" s="1" t="s">
        <v>367</v>
      </c>
      <c r="E150">
        <v>1E-4</v>
      </c>
      <c r="F150">
        <v>0</v>
      </c>
    </row>
    <row r="151" spans="1:6" x14ac:dyDescent="0.35">
      <c r="A151" s="1" t="s">
        <v>381</v>
      </c>
      <c r="B151" s="1" t="s">
        <v>382</v>
      </c>
      <c r="C151" s="1" t="s">
        <v>97</v>
      </c>
      <c r="D151" s="1" t="s">
        <v>98</v>
      </c>
    </row>
    <row r="152" spans="1:6" x14ac:dyDescent="0.35">
      <c r="A152" s="1" t="s">
        <v>42</v>
      </c>
      <c r="B152" s="1" t="s">
        <v>383</v>
      </c>
      <c r="C152" s="1" t="s">
        <v>97</v>
      </c>
      <c r="D152" s="1" t="s">
        <v>228</v>
      </c>
      <c r="E152">
        <v>413</v>
      </c>
    </row>
    <row r="153" spans="1:6" x14ac:dyDescent="0.35">
      <c r="A153" s="1" t="s">
        <v>384</v>
      </c>
      <c r="B153" s="1" t="s">
        <v>385</v>
      </c>
      <c r="C153" s="1" t="s">
        <v>380</v>
      </c>
      <c r="D153" s="1" t="s">
        <v>367</v>
      </c>
      <c r="E153">
        <v>1E-4</v>
      </c>
      <c r="F153">
        <v>0</v>
      </c>
    </row>
    <row r="154" spans="1:6" x14ac:dyDescent="0.35">
      <c r="A154" s="1" t="s">
        <v>386</v>
      </c>
      <c r="B154" s="1" t="s">
        <v>387</v>
      </c>
      <c r="C154" s="1" t="s">
        <v>97</v>
      </c>
      <c r="D154" s="1" t="s">
        <v>228</v>
      </c>
      <c r="E154">
        <v>0</v>
      </c>
    </row>
    <row r="155" spans="1:6" x14ac:dyDescent="0.35">
      <c r="A155" s="1" t="s">
        <v>388</v>
      </c>
      <c r="B155" s="1" t="s">
        <v>389</v>
      </c>
      <c r="C155" s="1" t="s">
        <v>97</v>
      </c>
      <c r="D155" s="1" t="s">
        <v>98</v>
      </c>
    </row>
    <row r="156" spans="1:6" x14ac:dyDescent="0.35">
      <c r="A156" s="1" t="s">
        <v>390</v>
      </c>
      <c r="B156" s="1" t="s">
        <v>391</v>
      </c>
      <c r="C156" s="1" t="s">
        <v>97</v>
      </c>
      <c r="D156" s="1" t="s">
        <v>228</v>
      </c>
      <c r="E156">
        <v>0</v>
      </c>
    </row>
    <row r="157" spans="1:6" x14ac:dyDescent="0.35">
      <c r="A157" s="1" t="s">
        <v>392</v>
      </c>
      <c r="B157" s="1" t="s">
        <v>393</v>
      </c>
      <c r="C157" s="1" t="s">
        <v>97</v>
      </c>
      <c r="D157" s="1" t="s">
        <v>98</v>
      </c>
    </row>
    <row r="158" spans="1:6" x14ac:dyDescent="0.35">
      <c r="A158" s="1" t="s">
        <v>394</v>
      </c>
      <c r="B158" s="1" t="s">
        <v>395</v>
      </c>
      <c r="C158" s="1" t="s">
        <v>97</v>
      </c>
      <c r="D158" s="1" t="s">
        <v>396</v>
      </c>
      <c r="E158">
        <v>0</v>
      </c>
    </row>
    <row r="159" spans="1:6" x14ac:dyDescent="0.35">
      <c r="A159" s="1" t="s">
        <v>397</v>
      </c>
      <c r="B159" s="1" t="s">
        <v>398</v>
      </c>
      <c r="C159" s="1" t="s">
        <v>160</v>
      </c>
      <c r="D159" s="1" t="s">
        <v>98</v>
      </c>
    </row>
    <row r="160" spans="1:6" x14ac:dyDescent="0.35">
      <c r="A160" s="1" t="s">
        <v>399</v>
      </c>
      <c r="B160" s="1" t="s">
        <v>400</v>
      </c>
      <c r="C160" s="1" t="s">
        <v>97</v>
      </c>
      <c r="D160" s="1" t="s">
        <v>98</v>
      </c>
    </row>
    <row r="161" spans="1:6" x14ac:dyDescent="0.35">
      <c r="A161" s="1" t="s">
        <v>401</v>
      </c>
      <c r="B161" s="1" t="s">
        <v>402</v>
      </c>
      <c r="C161" s="1" t="s">
        <v>97</v>
      </c>
      <c r="D161" s="1" t="s">
        <v>367</v>
      </c>
      <c r="E161">
        <v>0</v>
      </c>
    </row>
    <row r="162" spans="1:6" x14ac:dyDescent="0.35">
      <c r="A162" s="1" t="s">
        <v>403</v>
      </c>
      <c r="B162" s="1" t="s">
        <v>404</v>
      </c>
      <c r="C162" s="1" t="s">
        <v>160</v>
      </c>
      <c r="D162" s="1" t="s">
        <v>405</v>
      </c>
    </row>
    <row r="163" spans="1:6" x14ac:dyDescent="0.35">
      <c r="A163" s="1" t="s">
        <v>406</v>
      </c>
      <c r="B163" s="1" t="s">
        <v>407</v>
      </c>
      <c r="C163" s="1" t="s">
        <v>160</v>
      </c>
      <c r="D163" s="1" t="s">
        <v>405</v>
      </c>
    </row>
    <row r="164" spans="1:6" x14ac:dyDescent="0.35">
      <c r="A164" s="1" t="s">
        <v>408</v>
      </c>
      <c r="B164" s="1" t="s">
        <v>409</v>
      </c>
      <c r="C164" s="1" t="s">
        <v>160</v>
      </c>
      <c r="D164" s="1" t="s">
        <v>405</v>
      </c>
    </row>
    <row r="165" spans="1:6" x14ac:dyDescent="0.35">
      <c r="A165" s="1" t="s">
        <v>410</v>
      </c>
      <c r="B165" s="1" t="s">
        <v>411</v>
      </c>
      <c r="C165" s="1" t="s">
        <v>160</v>
      </c>
      <c r="D165" s="1" t="s">
        <v>98</v>
      </c>
    </row>
    <row r="166" spans="1:6" x14ac:dyDescent="0.35">
      <c r="A166" s="1" t="s">
        <v>412</v>
      </c>
      <c r="B166" s="1" t="s">
        <v>413</v>
      </c>
      <c r="C166" s="1" t="s">
        <v>414</v>
      </c>
      <c r="D166" s="1" t="s">
        <v>98</v>
      </c>
    </row>
    <row r="167" spans="1:6" x14ac:dyDescent="0.35">
      <c r="A167" s="1" t="s">
        <v>415</v>
      </c>
      <c r="B167" s="1" t="s">
        <v>416</v>
      </c>
      <c r="C167" s="1" t="s">
        <v>160</v>
      </c>
      <c r="D167" s="1" t="s">
        <v>98</v>
      </c>
    </row>
    <row r="168" spans="1:6" x14ac:dyDescent="0.35">
      <c r="A168" s="1" t="s">
        <v>417</v>
      </c>
      <c r="B168" s="1" t="s">
        <v>418</v>
      </c>
      <c r="C168" s="1" t="s">
        <v>160</v>
      </c>
      <c r="D168" s="1" t="s">
        <v>405</v>
      </c>
    </row>
    <row r="169" spans="1:6" x14ac:dyDescent="0.35">
      <c r="A169" s="1" t="s">
        <v>419</v>
      </c>
      <c r="B169" s="1" t="s">
        <v>420</v>
      </c>
      <c r="C169" s="1" t="s">
        <v>136</v>
      </c>
      <c r="D169" s="1" t="s">
        <v>140</v>
      </c>
      <c r="E169">
        <v>0.01</v>
      </c>
      <c r="F169">
        <v>0</v>
      </c>
    </row>
    <row r="170" spans="1:6" x14ac:dyDescent="0.35">
      <c r="A170" s="1" t="s">
        <v>421</v>
      </c>
      <c r="B170" s="1" t="s">
        <v>422</v>
      </c>
      <c r="C170" s="1" t="s">
        <v>160</v>
      </c>
      <c r="D170" s="1" t="s">
        <v>405</v>
      </c>
    </row>
    <row r="171" spans="1:6" x14ac:dyDescent="0.35">
      <c r="A171" s="1" t="s">
        <v>423</v>
      </c>
      <c r="B171" s="1" t="s">
        <v>424</v>
      </c>
      <c r="C171" s="1" t="s">
        <v>160</v>
      </c>
      <c r="D171" s="1" t="s">
        <v>425</v>
      </c>
    </row>
    <row r="172" spans="1:6" x14ac:dyDescent="0.35">
      <c r="A172" s="1" t="s">
        <v>426</v>
      </c>
      <c r="B172" s="1" t="s">
        <v>427</v>
      </c>
      <c r="C172" s="1" t="s">
        <v>160</v>
      </c>
      <c r="D172" s="1" t="s">
        <v>98</v>
      </c>
    </row>
    <row r="173" spans="1:6" x14ac:dyDescent="0.35">
      <c r="A173" s="1" t="s">
        <v>428</v>
      </c>
      <c r="B173" s="1" t="s">
        <v>429</v>
      </c>
      <c r="C173" s="1" t="s">
        <v>160</v>
      </c>
      <c r="D173" s="1" t="s">
        <v>161</v>
      </c>
    </row>
    <row r="174" spans="1:6" x14ac:dyDescent="0.35">
      <c r="A174" s="1" t="s">
        <v>430</v>
      </c>
      <c r="B174" s="1" t="s">
        <v>431</v>
      </c>
      <c r="C174" s="1" t="s">
        <v>160</v>
      </c>
      <c r="D174" s="1" t="s">
        <v>98</v>
      </c>
    </row>
    <row r="175" spans="1:6" x14ac:dyDescent="0.35">
      <c r="A175" s="1" t="s">
        <v>53</v>
      </c>
      <c r="B175" s="1" t="s">
        <v>432</v>
      </c>
      <c r="C175" s="1" t="s">
        <v>136</v>
      </c>
      <c r="D175" s="1" t="s">
        <v>140</v>
      </c>
      <c r="E175">
        <v>0.01</v>
      </c>
      <c r="F175">
        <v>2000</v>
      </c>
    </row>
    <row r="176" spans="1:6" x14ac:dyDescent="0.35">
      <c r="A176" s="1" t="s">
        <v>433</v>
      </c>
      <c r="B176" s="1" t="s">
        <v>434</v>
      </c>
      <c r="C176" s="1" t="s">
        <v>160</v>
      </c>
      <c r="D176" s="1" t="s">
        <v>98</v>
      </c>
    </row>
    <row r="177" spans="1:6" x14ac:dyDescent="0.35">
      <c r="A177" s="1" t="s">
        <v>435</v>
      </c>
      <c r="B177" s="1" t="s">
        <v>436</v>
      </c>
      <c r="C177" s="1" t="s">
        <v>160</v>
      </c>
      <c r="D177" s="1" t="s">
        <v>256</v>
      </c>
    </row>
    <row r="178" spans="1:6" x14ac:dyDescent="0.35">
      <c r="A178" s="1" t="s">
        <v>2</v>
      </c>
      <c r="B178" s="1" t="s">
        <v>437</v>
      </c>
      <c r="C178" s="1" t="s">
        <v>160</v>
      </c>
      <c r="D178" s="1" t="s">
        <v>98</v>
      </c>
    </row>
    <row r="179" spans="1:6" x14ac:dyDescent="0.35">
      <c r="A179" s="1" t="s">
        <v>438</v>
      </c>
      <c r="B179" s="1" t="s">
        <v>439</v>
      </c>
      <c r="C179" s="1" t="s">
        <v>160</v>
      </c>
      <c r="D179" s="1" t="s">
        <v>98</v>
      </c>
    </row>
    <row r="180" spans="1:6" x14ac:dyDescent="0.35">
      <c r="A180" s="1" t="s">
        <v>3</v>
      </c>
      <c r="B180" s="1" t="s">
        <v>440</v>
      </c>
      <c r="C180" s="1" t="s">
        <v>97</v>
      </c>
      <c r="D180" s="1" t="s">
        <v>441</v>
      </c>
    </row>
    <row r="181" spans="1:6" x14ac:dyDescent="0.35">
      <c r="A181" s="1" t="s">
        <v>442</v>
      </c>
      <c r="B181" s="1" t="s">
        <v>443</v>
      </c>
      <c r="C181" s="1" t="s">
        <v>160</v>
      </c>
      <c r="D181" s="1" t="s">
        <v>444</v>
      </c>
    </row>
    <row r="182" spans="1:6" x14ac:dyDescent="0.35">
      <c r="A182" s="1" t="s">
        <v>445</v>
      </c>
      <c r="B182" s="1" t="s">
        <v>446</v>
      </c>
      <c r="C182" s="1" t="s">
        <v>160</v>
      </c>
      <c r="D182" s="1" t="s">
        <v>447</v>
      </c>
    </row>
    <row r="183" spans="1:6" x14ac:dyDescent="0.35">
      <c r="A183" s="1" t="s">
        <v>18</v>
      </c>
      <c r="B183" s="1" t="s">
        <v>448</v>
      </c>
      <c r="C183" s="1" t="s">
        <v>136</v>
      </c>
      <c r="D183" s="1" t="s">
        <v>140</v>
      </c>
      <c r="E183">
        <v>0.01</v>
      </c>
      <c r="F183">
        <v>1800</v>
      </c>
    </row>
    <row r="184" spans="1:6" x14ac:dyDescent="0.35">
      <c r="A184" s="1" t="s">
        <v>449</v>
      </c>
      <c r="B184" s="1" t="s">
        <v>450</v>
      </c>
      <c r="C184" s="1" t="s">
        <v>136</v>
      </c>
      <c r="D184" s="1" t="s">
        <v>140</v>
      </c>
      <c r="E184">
        <v>0.01</v>
      </c>
      <c r="F184">
        <v>0</v>
      </c>
    </row>
    <row r="185" spans="1:6" x14ac:dyDescent="0.35">
      <c r="A185" s="1" t="s">
        <v>31</v>
      </c>
      <c r="B185" s="1" t="s">
        <v>451</v>
      </c>
      <c r="C185" s="1" t="s">
        <v>160</v>
      </c>
      <c r="D185" s="1" t="s">
        <v>405</v>
      </c>
    </row>
    <row r="186" spans="1:6" x14ac:dyDescent="0.35">
      <c r="A186" s="1" t="s">
        <v>452</v>
      </c>
      <c r="B186" s="1" t="s">
        <v>453</v>
      </c>
      <c r="C186" s="1" t="s">
        <v>136</v>
      </c>
      <c r="D186" s="1" t="s">
        <v>218</v>
      </c>
      <c r="E186">
        <v>0.01</v>
      </c>
      <c r="F186">
        <v>0</v>
      </c>
    </row>
    <row r="187" spans="1:6" x14ac:dyDescent="0.35">
      <c r="A187" s="1" t="s">
        <v>454</v>
      </c>
      <c r="B187" s="1" t="s">
        <v>455</v>
      </c>
      <c r="C187" s="1" t="s">
        <v>160</v>
      </c>
      <c r="D187" s="1" t="s">
        <v>98</v>
      </c>
    </row>
    <row r="188" spans="1:6" x14ac:dyDescent="0.35">
      <c r="A188" s="1" t="s">
        <v>456</v>
      </c>
      <c r="B188" s="1" t="s">
        <v>457</v>
      </c>
      <c r="C188" s="1" t="s">
        <v>136</v>
      </c>
      <c r="D188" s="1" t="s">
        <v>140</v>
      </c>
      <c r="E188">
        <v>0.01</v>
      </c>
      <c r="F188">
        <v>32767</v>
      </c>
    </row>
    <row r="189" spans="1:6" x14ac:dyDescent="0.35">
      <c r="A189" s="1" t="s">
        <v>458</v>
      </c>
      <c r="B189" s="1" t="s">
        <v>459</v>
      </c>
      <c r="C189" s="1" t="s">
        <v>136</v>
      </c>
      <c r="D189" s="1" t="s">
        <v>140</v>
      </c>
      <c r="E189">
        <v>0.01</v>
      </c>
      <c r="F189">
        <v>1800</v>
      </c>
    </row>
    <row r="190" spans="1:6" x14ac:dyDescent="0.35">
      <c r="A190" s="1" t="s">
        <v>0</v>
      </c>
      <c r="B190" s="1" t="s">
        <v>460</v>
      </c>
      <c r="C190" s="1" t="s">
        <v>136</v>
      </c>
      <c r="D190" s="1" t="s">
        <v>140</v>
      </c>
      <c r="E190">
        <v>0.01</v>
      </c>
      <c r="F190">
        <v>2392</v>
      </c>
    </row>
    <row r="191" spans="1:6" x14ac:dyDescent="0.35">
      <c r="A191" s="1" t="s">
        <v>461</v>
      </c>
      <c r="B191" s="1" t="s">
        <v>462</v>
      </c>
      <c r="C191" s="1" t="s">
        <v>136</v>
      </c>
      <c r="D191" s="1" t="s">
        <v>140</v>
      </c>
      <c r="E191">
        <v>0.01</v>
      </c>
      <c r="F191">
        <v>32767</v>
      </c>
    </row>
    <row r="192" spans="1:6" x14ac:dyDescent="0.35">
      <c r="A192" s="1" t="s">
        <v>463</v>
      </c>
      <c r="B192" s="1" t="s">
        <v>464</v>
      </c>
      <c r="C192" s="1" t="s">
        <v>160</v>
      </c>
      <c r="D192" s="1" t="s">
        <v>425</v>
      </c>
    </row>
    <row r="193" spans="1:6" x14ac:dyDescent="0.35">
      <c r="A193" s="1" t="s">
        <v>465</v>
      </c>
      <c r="B193" s="1" t="s">
        <v>466</v>
      </c>
      <c r="C193" s="1" t="s">
        <v>160</v>
      </c>
      <c r="D193" s="1" t="s">
        <v>161</v>
      </c>
    </row>
    <row r="194" spans="1:6" x14ac:dyDescent="0.35">
      <c r="A194" s="1" t="s">
        <v>467</v>
      </c>
      <c r="B194" s="1" t="s">
        <v>468</v>
      </c>
      <c r="C194" s="1" t="s">
        <v>160</v>
      </c>
      <c r="D194" s="1" t="s">
        <v>98</v>
      </c>
    </row>
    <row r="195" spans="1:6" x14ac:dyDescent="0.35">
      <c r="A195" s="1" t="s">
        <v>469</v>
      </c>
      <c r="B195" s="1" t="s">
        <v>470</v>
      </c>
      <c r="C195" s="1" t="s">
        <v>160</v>
      </c>
      <c r="D195" s="1" t="s">
        <v>98</v>
      </c>
    </row>
    <row r="196" spans="1:6" x14ac:dyDescent="0.35">
      <c r="A196" s="1" t="s">
        <v>471</v>
      </c>
      <c r="B196" s="1" t="s">
        <v>472</v>
      </c>
      <c r="C196" s="1" t="s">
        <v>160</v>
      </c>
      <c r="D196" s="1" t="s">
        <v>98</v>
      </c>
    </row>
    <row r="197" spans="1:6" x14ac:dyDescent="0.35">
      <c r="A197" s="1" t="s">
        <v>473</v>
      </c>
      <c r="B197" s="1" t="s">
        <v>474</v>
      </c>
      <c r="C197" s="1" t="s">
        <v>475</v>
      </c>
      <c r="D197" s="1" t="s">
        <v>253</v>
      </c>
      <c r="E197">
        <v>0.01</v>
      </c>
      <c r="F197">
        <v>0</v>
      </c>
    </row>
    <row r="198" spans="1:6" x14ac:dyDescent="0.35">
      <c r="A198" s="1" t="s">
        <v>476</v>
      </c>
      <c r="B198" s="1" t="s">
        <v>477</v>
      </c>
      <c r="C198" s="1" t="s">
        <v>136</v>
      </c>
      <c r="D198" s="1" t="s">
        <v>140</v>
      </c>
      <c r="E198">
        <v>0.01</v>
      </c>
      <c r="F198">
        <v>1750</v>
      </c>
    </row>
    <row r="199" spans="1:6" x14ac:dyDescent="0.35">
      <c r="A199" s="1" t="s">
        <v>478</v>
      </c>
      <c r="B199" s="1" t="s">
        <v>479</v>
      </c>
      <c r="C199" s="1" t="s">
        <v>160</v>
      </c>
      <c r="D199" s="1" t="s">
        <v>480</v>
      </c>
    </row>
    <row r="200" spans="1:6" x14ac:dyDescent="0.35">
      <c r="A200" s="1" t="s">
        <v>481</v>
      </c>
      <c r="B200" s="1" t="s">
        <v>482</v>
      </c>
      <c r="C200" s="1" t="s">
        <v>160</v>
      </c>
      <c r="D200" s="1" t="s">
        <v>98</v>
      </c>
    </row>
    <row r="201" spans="1:6" x14ac:dyDescent="0.35">
      <c r="A201" s="1" t="s">
        <v>483</v>
      </c>
      <c r="B201" s="1" t="s">
        <v>484</v>
      </c>
      <c r="C201" s="1" t="s">
        <v>136</v>
      </c>
      <c r="D201" s="1" t="s">
        <v>140</v>
      </c>
      <c r="E201">
        <v>0.01</v>
      </c>
      <c r="F201">
        <v>32767</v>
      </c>
    </row>
    <row r="202" spans="1:6" x14ac:dyDescent="0.35">
      <c r="A202" s="1" t="s">
        <v>485</v>
      </c>
      <c r="B202" s="1" t="s">
        <v>486</v>
      </c>
      <c r="C202" s="1" t="s">
        <v>160</v>
      </c>
      <c r="D202" s="1" t="s">
        <v>98</v>
      </c>
    </row>
    <row r="203" spans="1:6" x14ac:dyDescent="0.35">
      <c r="A203" s="1" t="s">
        <v>487</v>
      </c>
      <c r="B203" s="1" t="s">
        <v>488</v>
      </c>
      <c r="C203" s="1" t="s">
        <v>136</v>
      </c>
      <c r="D203" s="1" t="s">
        <v>140</v>
      </c>
      <c r="E203">
        <v>0.01</v>
      </c>
      <c r="F203">
        <v>32767</v>
      </c>
    </row>
    <row r="204" spans="1:6" x14ac:dyDescent="0.35">
      <c r="A204" s="1" t="s">
        <v>1</v>
      </c>
      <c r="B204" s="1" t="s">
        <v>489</v>
      </c>
      <c r="C204" s="1" t="s">
        <v>160</v>
      </c>
      <c r="D204" s="1" t="s">
        <v>405</v>
      </c>
    </row>
    <row r="205" spans="1:6" x14ac:dyDescent="0.35">
      <c r="A205" s="1" t="s">
        <v>86</v>
      </c>
      <c r="B205" s="1" t="s">
        <v>490</v>
      </c>
      <c r="C205" s="1" t="s">
        <v>136</v>
      </c>
      <c r="D205" s="1" t="s">
        <v>140</v>
      </c>
      <c r="E205">
        <v>0.01</v>
      </c>
      <c r="F205">
        <v>32767</v>
      </c>
    </row>
    <row r="206" spans="1:6" x14ac:dyDescent="0.35">
      <c r="A206" s="1" t="s">
        <v>491</v>
      </c>
      <c r="B206" s="1" t="s">
        <v>492</v>
      </c>
      <c r="C206" s="1" t="s">
        <v>160</v>
      </c>
      <c r="D206" s="1" t="s">
        <v>493</v>
      </c>
    </row>
    <row r="207" spans="1:6" x14ac:dyDescent="0.35">
      <c r="A207" s="1" t="s">
        <v>19</v>
      </c>
      <c r="B207" s="1" t="s">
        <v>494</v>
      </c>
      <c r="C207" s="1" t="s">
        <v>160</v>
      </c>
      <c r="D207" s="1" t="s">
        <v>495</v>
      </c>
    </row>
    <row r="208" spans="1:6" x14ac:dyDescent="0.35">
      <c r="A208" s="1" t="s">
        <v>496</v>
      </c>
      <c r="B208" s="1" t="s">
        <v>497</v>
      </c>
      <c r="C208" s="1" t="s">
        <v>136</v>
      </c>
      <c r="D208" s="1" t="s">
        <v>140</v>
      </c>
      <c r="E208">
        <v>0.01</v>
      </c>
      <c r="F208">
        <v>32767</v>
      </c>
    </row>
    <row r="209" spans="1:6" x14ac:dyDescent="0.35">
      <c r="A209" s="1" t="s">
        <v>498</v>
      </c>
      <c r="B209" s="1" t="s">
        <v>499</v>
      </c>
      <c r="C209" s="1" t="s">
        <v>136</v>
      </c>
      <c r="D209" s="1" t="s">
        <v>140</v>
      </c>
      <c r="E209">
        <v>0.01</v>
      </c>
      <c r="F209">
        <v>32767</v>
      </c>
    </row>
    <row r="210" spans="1:6" x14ac:dyDescent="0.35">
      <c r="A210" s="1" t="s">
        <v>500</v>
      </c>
      <c r="B210" s="1" t="s">
        <v>501</v>
      </c>
      <c r="C210" s="1" t="s">
        <v>160</v>
      </c>
      <c r="D210" s="1" t="s">
        <v>98</v>
      </c>
    </row>
    <row r="211" spans="1:6" x14ac:dyDescent="0.35">
      <c r="A211" s="1" t="s">
        <v>502</v>
      </c>
      <c r="B211" s="1" t="s">
        <v>503</v>
      </c>
      <c r="C211" s="1" t="s">
        <v>160</v>
      </c>
      <c r="D211" s="1" t="s">
        <v>504</v>
      </c>
    </row>
    <row r="212" spans="1:6" x14ac:dyDescent="0.35">
      <c r="A212" s="1" t="s">
        <v>13</v>
      </c>
      <c r="B212" s="1" t="s">
        <v>505</v>
      </c>
      <c r="C212" s="1" t="s">
        <v>160</v>
      </c>
      <c r="D212" s="1" t="s">
        <v>506</v>
      </c>
    </row>
    <row r="213" spans="1:6" x14ac:dyDescent="0.35">
      <c r="A213" s="1" t="s">
        <v>85</v>
      </c>
      <c r="B213" s="1" t="s">
        <v>507</v>
      </c>
      <c r="C213" s="1" t="s">
        <v>136</v>
      </c>
      <c r="D213" s="1" t="s">
        <v>140</v>
      </c>
      <c r="E213">
        <v>0.01</v>
      </c>
      <c r="F213">
        <v>32767</v>
      </c>
    </row>
    <row r="214" spans="1:6" x14ac:dyDescent="0.35">
      <c r="A214" s="1" t="s">
        <v>508</v>
      </c>
      <c r="B214" s="1" t="s">
        <v>509</v>
      </c>
      <c r="C214" s="1" t="s">
        <v>136</v>
      </c>
      <c r="D214" s="1" t="s">
        <v>510</v>
      </c>
      <c r="E214">
        <v>0.01</v>
      </c>
      <c r="F214">
        <v>0</v>
      </c>
    </row>
    <row r="215" spans="1:6" x14ac:dyDescent="0.35">
      <c r="A215" s="1" t="s">
        <v>511</v>
      </c>
      <c r="B215" s="1" t="s">
        <v>512</v>
      </c>
      <c r="C215" s="1" t="s">
        <v>136</v>
      </c>
      <c r="D215" s="1" t="s">
        <v>140</v>
      </c>
      <c r="E215">
        <v>0.01</v>
      </c>
      <c r="F215">
        <v>32767</v>
      </c>
    </row>
    <row r="216" spans="1:6" x14ac:dyDescent="0.35">
      <c r="A216" s="1" t="s">
        <v>513</v>
      </c>
      <c r="B216" s="1" t="s">
        <v>514</v>
      </c>
      <c r="C216" s="1" t="s">
        <v>136</v>
      </c>
      <c r="D216" s="1" t="s">
        <v>140</v>
      </c>
      <c r="E216">
        <v>0.01</v>
      </c>
      <c r="F216">
        <v>32767</v>
      </c>
    </row>
    <row r="217" spans="1:6" x14ac:dyDescent="0.35">
      <c r="A217" s="1" t="s">
        <v>515</v>
      </c>
      <c r="B217" s="1" t="s">
        <v>516</v>
      </c>
      <c r="C217" s="1" t="s">
        <v>136</v>
      </c>
      <c r="D217" s="1" t="s">
        <v>140</v>
      </c>
      <c r="E217">
        <v>0.01</v>
      </c>
      <c r="F217">
        <v>32767</v>
      </c>
    </row>
    <row r="218" spans="1:6" x14ac:dyDescent="0.35">
      <c r="A218" s="1" t="s">
        <v>5</v>
      </c>
      <c r="B218" s="1" t="s">
        <v>517</v>
      </c>
      <c r="C218" s="1" t="s">
        <v>136</v>
      </c>
      <c r="D218" s="1" t="s">
        <v>250</v>
      </c>
      <c r="E218">
        <v>0.01</v>
      </c>
      <c r="F218">
        <v>166</v>
      </c>
    </row>
    <row r="219" spans="1:6" x14ac:dyDescent="0.35">
      <c r="A219" s="1" t="s">
        <v>71</v>
      </c>
      <c r="B219" s="1" t="s">
        <v>518</v>
      </c>
      <c r="C219" s="1" t="s">
        <v>136</v>
      </c>
      <c r="D219" s="1" t="s">
        <v>140</v>
      </c>
      <c r="E219">
        <v>0.01</v>
      </c>
      <c r="F219">
        <v>2738</v>
      </c>
    </row>
    <row r="220" spans="1:6" x14ac:dyDescent="0.35">
      <c r="A220" s="1" t="s">
        <v>519</v>
      </c>
      <c r="B220" s="1" t="s">
        <v>520</v>
      </c>
      <c r="C220" s="1" t="s">
        <v>136</v>
      </c>
      <c r="D220" s="1" t="s">
        <v>204</v>
      </c>
      <c r="E220">
        <v>0.01</v>
      </c>
      <c r="F220">
        <v>1800</v>
      </c>
    </row>
    <row r="221" spans="1:6" x14ac:dyDescent="0.35">
      <c r="A221" s="1" t="s">
        <v>521</v>
      </c>
      <c r="B221" s="1" t="s">
        <v>522</v>
      </c>
      <c r="C221" s="1" t="s">
        <v>160</v>
      </c>
      <c r="D221" s="1" t="s">
        <v>523</v>
      </c>
    </row>
    <row r="222" spans="1:6" x14ac:dyDescent="0.35">
      <c r="A222" s="1" t="s">
        <v>524</v>
      </c>
      <c r="B222" s="1" t="s">
        <v>525</v>
      </c>
      <c r="C222" s="1" t="s">
        <v>160</v>
      </c>
      <c r="D222" s="1" t="s">
        <v>480</v>
      </c>
    </row>
    <row r="223" spans="1:6" x14ac:dyDescent="0.35">
      <c r="A223" s="1" t="s">
        <v>526</v>
      </c>
      <c r="B223" s="1" t="s">
        <v>527</v>
      </c>
      <c r="C223" s="1" t="s">
        <v>136</v>
      </c>
      <c r="D223" s="1" t="s">
        <v>140</v>
      </c>
      <c r="E223">
        <v>0.01</v>
      </c>
      <c r="F223">
        <v>2392</v>
      </c>
    </row>
    <row r="224" spans="1:6" x14ac:dyDescent="0.35">
      <c r="A224" s="1" t="s">
        <v>528</v>
      </c>
      <c r="B224" s="1" t="s">
        <v>529</v>
      </c>
      <c r="C224" s="1" t="s">
        <v>136</v>
      </c>
      <c r="D224" s="1" t="s">
        <v>140</v>
      </c>
      <c r="E224">
        <v>0.01</v>
      </c>
      <c r="F224">
        <v>1000</v>
      </c>
    </row>
    <row r="225" spans="1:6" x14ac:dyDescent="0.35">
      <c r="A225" s="1" t="s">
        <v>25</v>
      </c>
      <c r="B225" s="1" t="s">
        <v>530</v>
      </c>
      <c r="C225" s="1" t="s">
        <v>160</v>
      </c>
      <c r="D225" s="1" t="s">
        <v>98</v>
      </c>
    </row>
    <row r="226" spans="1:6" x14ac:dyDescent="0.35">
      <c r="A226" s="1" t="s">
        <v>531</v>
      </c>
      <c r="B226" s="1" t="s">
        <v>532</v>
      </c>
      <c r="C226" s="1" t="s">
        <v>160</v>
      </c>
      <c r="D226" s="1" t="s">
        <v>98</v>
      </c>
    </row>
    <row r="227" spans="1:6" x14ac:dyDescent="0.35">
      <c r="A227" s="1" t="s">
        <v>533</v>
      </c>
      <c r="B227" s="1" t="s">
        <v>534</v>
      </c>
      <c r="C227" s="1" t="s">
        <v>160</v>
      </c>
      <c r="D227" s="1" t="s">
        <v>245</v>
      </c>
    </row>
    <row r="228" spans="1:6" x14ac:dyDescent="0.35">
      <c r="A228" s="1" t="s">
        <v>535</v>
      </c>
      <c r="B228" s="1" t="s">
        <v>536</v>
      </c>
      <c r="C228" s="1" t="s">
        <v>136</v>
      </c>
      <c r="D228" s="1" t="s">
        <v>250</v>
      </c>
      <c r="E228">
        <v>0.01</v>
      </c>
      <c r="F228">
        <v>166</v>
      </c>
    </row>
    <row r="229" spans="1:6" x14ac:dyDescent="0.35">
      <c r="A229" s="1" t="s">
        <v>537</v>
      </c>
      <c r="B229" s="1" t="s">
        <v>538</v>
      </c>
      <c r="C229" s="1" t="s">
        <v>160</v>
      </c>
      <c r="D229" s="1" t="s">
        <v>425</v>
      </c>
    </row>
    <row r="230" spans="1:6" x14ac:dyDescent="0.35">
      <c r="A230" s="1" t="s">
        <v>539</v>
      </c>
      <c r="B230" s="1" t="s">
        <v>540</v>
      </c>
      <c r="C230" s="1" t="s">
        <v>136</v>
      </c>
      <c r="D230" s="1" t="s">
        <v>140</v>
      </c>
      <c r="E230">
        <v>0.01</v>
      </c>
      <c r="F230">
        <v>32767</v>
      </c>
    </row>
    <row r="231" spans="1:6" x14ac:dyDescent="0.35">
      <c r="A231" s="1" t="s">
        <v>541</v>
      </c>
      <c r="B231" s="1" t="s">
        <v>542</v>
      </c>
      <c r="C231" s="1" t="s">
        <v>136</v>
      </c>
      <c r="D231" s="1" t="s">
        <v>140</v>
      </c>
      <c r="E231">
        <v>0.01</v>
      </c>
      <c r="F231">
        <v>0</v>
      </c>
    </row>
    <row r="232" spans="1:6" x14ac:dyDescent="0.35">
      <c r="A232" s="1" t="s">
        <v>543</v>
      </c>
      <c r="B232" s="1" t="s">
        <v>544</v>
      </c>
      <c r="C232" s="1" t="s">
        <v>136</v>
      </c>
      <c r="D232" s="1" t="s">
        <v>204</v>
      </c>
      <c r="E232">
        <v>0.01</v>
      </c>
      <c r="F232">
        <v>0</v>
      </c>
    </row>
    <row r="233" spans="1:6" x14ac:dyDescent="0.35">
      <c r="A233" s="1" t="s">
        <v>67</v>
      </c>
      <c r="B233" s="1" t="s">
        <v>545</v>
      </c>
      <c r="C233" s="1" t="s">
        <v>136</v>
      </c>
      <c r="D233" s="1" t="s">
        <v>204</v>
      </c>
      <c r="E233">
        <v>0.01</v>
      </c>
      <c r="F233">
        <v>0</v>
      </c>
    </row>
    <row r="234" spans="1:6" x14ac:dyDescent="0.35">
      <c r="A234" s="1" t="s">
        <v>546</v>
      </c>
      <c r="B234" s="1" t="s">
        <v>547</v>
      </c>
      <c r="C234" s="1" t="s">
        <v>136</v>
      </c>
      <c r="D234" s="1" t="s">
        <v>140</v>
      </c>
      <c r="E234">
        <v>0.01</v>
      </c>
      <c r="F234">
        <v>32767</v>
      </c>
    </row>
    <row r="235" spans="1:6" x14ac:dyDescent="0.35">
      <c r="A235" s="1" t="s">
        <v>548</v>
      </c>
      <c r="B235" s="1" t="s">
        <v>549</v>
      </c>
      <c r="C235" s="1" t="s">
        <v>97</v>
      </c>
      <c r="D235" s="1" t="s">
        <v>550</v>
      </c>
    </row>
    <row r="236" spans="1:6" x14ac:dyDescent="0.35">
      <c r="A236" s="1" t="s">
        <v>46</v>
      </c>
      <c r="B236" s="1" t="s">
        <v>551</v>
      </c>
      <c r="C236" s="1" t="s">
        <v>97</v>
      </c>
      <c r="D236" s="1" t="s">
        <v>280</v>
      </c>
    </row>
    <row r="237" spans="1:6" x14ac:dyDescent="0.35">
      <c r="A237" s="1" t="s">
        <v>552</v>
      </c>
      <c r="B237" s="1" t="s">
        <v>553</v>
      </c>
      <c r="C237" s="1" t="s">
        <v>136</v>
      </c>
      <c r="D237" s="1" t="s">
        <v>140</v>
      </c>
      <c r="E237">
        <v>0.01</v>
      </c>
      <c r="F237">
        <v>32767</v>
      </c>
    </row>
    <row r="238" spans="1:6" x14ac:dyDescent="0.35">
      <c r="A238" s="1" t="s">
        <v>49</v>
      </c>
      <c r="B238" s="1" t="s">
        <v>554</v>
      </c>
      <c r="C238" s="1" t="s">
        <v>97</v>
      </c>
      <c r="D238" s="1" t="s">
        <v>98</v>
      </c>
    </row>
    <row r="239" spans="1:6" x14ac:dyDescent="0.35">
      <c r="A239" s="1" t="s">
        <v>555</v>
      </c>
      <c r="B239" s="1" t="s">
        <v>556</v>
      </c>
      <c r="C239" s="1" t="s">
        <v>97</v>
      </c>
      <c r="D239" s="1" t="s">
        <v>557</v>
      </c>
    </row>
    <row r="240" spans="1:6" x14ac:dyDescent="0.35">
      <c r="A240" s="1" t="s">
        <v>558</v>
      </c>
      <c r="B240" s="1" t="s">
        <v>559</v>
      </c>
      <c r="C240" s="1" t="s">
        <v>97</v>
      </c>
      <c r="D240" s="1" t="s">
        <v>560</v>
      </c>
    </row>
    <row r="241" spans="1:6" x14ac:dyDescent="0.35">
      <c r="A241" s="1" t="s">
        <v>48</v>
      </c>
      <c r="B241" s="1" t="s">
        <v>561</v>
      </c>
      <c r="C241" s="1" t="s">
        <v>97</v>
      </c>
      <c r="D241" s="1" t="s">
        <v>228</v>
      </c>
      <c r="E241">
        <v>143</v>
      </c>
    </row>
    <row r="242" spans="1:6" x14ac:dyDescent="0.35">
      <c r="A242" s="1" t="s">
        <v>562</v>
      </c>
      <c r="B242" s="1" t="s">
        <v>563</v>
      </c>
      <c r="C242" s="1" t="s">
        <v>136</v>
      </c>
      <c r="D242" s="1" t="s">
        <v>140</v>
      </c>
      <c r="E242">
        <v>0.01</v>
      </c>
      <c r="F242">
        <v>2738</v>
      </c>
    </row>
    <row r="243" spans="1:6" x14ac:dyDescent="0.35">
      <c r="A243" s="1" t="s">
        <v>564</v>
      </c>
      <c r="B243" s="1" t="s">
        <v>565</v>
      </c>
      <c r="C243" s="1" t="s">
        <v>97</v>
      </c>
      <c r="D243" s="1" t="s">
        <v>98</v>
      </c>
    </row>
    <row r="244" spans="1:6" x14ac:dyDescent="0.35">
      <c r="A244" s="1" t="s">
        <v>566</v>
      </c>
      <c r="B244" s="1" t="s">
        <v>567</v>
      </c>
      <c r="C244" s="1" t="s">
        <v>136</v>
      </c>
      <c r="D244" s="1" t="s">
        <v>218</v>
      </c>
      <c r="E244">
        <v>0.01</v>
      </c>
      <c r="F244">
        <v>0</v>
      </c>
    </row>
    <row r="245" spans="1:6" x14ac:dyDescent="0.35">
      <c r="A245" s="1" t="s">
        <v>568</v>
      </c>
      <c r="B245" s="1" t="s">
        <v>569</v>
      </c>
      <c r="C245" s="1" t="s">
        <v>136</v>
      </c>
      <c r="D245" s="1" t="s">
        <v>140</v>
      </c>
      <c r="E245">
        <v>0.01</v>
      </c>
      <c r="F245">
        <v>32767</v>
      </c>
    </row>
    <row r="246" spans="1:6" x14ac:dyDescent="0.35">
      <c r="A246" s="1" t="s">
        <v>570</v>
      </c>
      <c r="B246" s="1" t="s">
        <v>571</v>
      </c>
      <c r="C246" s="1" t="s">
        <v>136</v>
      </c>
      <c r="D246" s="1" t="s">
        <v>140</v>
      </c>
      <c r="E246">
        <v>0.01</v>
      </c>
      <c r="F246">
        <v>5500</v>
      </c>
    </row>
    <row r="247" spans="1:6" x14ac:dyDescent="0.35">
      <c r="A247" s="1" t="s">
        <v>572</v>
      </c>
      <c r="B247" s="1" t="s">
        <v>573</v>
      </c>
      <c r="C247" s="1" t="s">
        <v>97</v>
      </c>
      <c r="D247" s="1" t="s">
        <v>98</v>
      </c>
    </row>
    <row r="248" spans="1:6" x14ac:dyDescent="0.35">
      <c r="A248" s="1" t="s">
        <v>574</v>
      </c>
      <c r="B248" s="1" t="s">
        <v>575</v>
      </c>
      <c r="C248" s="1" t="s">
        <v>136</v>
      </c>
      <c r="D248" s="1" t="s">
        <v>140</v>
      </c>
      <c r="E248">
        <v>0.01</v>
      </c>
      <c r="F248">
        <v>6000</v>
      </c>
    </row>
    <row r="249" spans="1:6" x14ac:dyDescent="0.35">
      <c r="A249" s="1" t="s">
        <v>576</v>
      </c>
      <c r="B249" s="1" t="s">
        <v>577</v>
      </c>
      <c r="C249" s="1" t="s">
        <v>97</v>
      </c>
      <c r="D249" s="1" t="s">
        <v>578</v>
      </c>
    </row>
    <row r="250" spans="1:6" x14ac:dyDescent="0.35">
      <c r="A250" s="1" t="s">
        <v>579</v>
      </c>
      <c r="B250" s="1" t="s">
        <v>580</v>
      </c>
      <c r="C250" s="1" t="s">
        <v>136</v>
      </c>
      <c r="D250" s="1" t="s">
        <v>140</v>
      </c>
      <c r="E250">
        <v>0.01</v>
      </c>
      <c r="F250">
        <v>4745</v>
      </c>
    </row>
    <row r="251" spans="1:6" x14ac:dyDescent="0.35">
      <c r="A251" s="1" t="s">
        <v>47</v>
      </c>
      <c r="B251" s="1" t="s">
        <v>581</v>
      </c>
      <c r="C251" s="1" t="s">
        <v>97</v>
      </c>
      <c r="D251" s="1" t="s">
        <v>228</v>
      </c>
      <c r="E251">
        <v>4921</v>
      </c>
    </row>
    <row r="252" spans="1:6" x14ac:dyDescent="0.35">
      <c r="A252" s="1" t="s">
        <v>582</v>
      </c>
      <c r="B252" s="1" t="s">
        <v>583</v>
      </c>
      <c r="C252" s="1" t="s">
        <v>160</v>
      </c>
      <c r="D252" s="1" t="s">
        <v>98</v>
      </c>
    </row>
    <row r="253" spans="1:6" x14ac:dyDescent="0.35">
      <c r="A253" s="1" t="s">
        <v>584</v>
      </c>
      <c r="B253" s="1" t="s">
        <v>585</v>
      </c>
      <c r="C253" s="1" t="s">
        <v>136</v>
      </c>
      <c r="D253" s="1" t="s">
        <v>140</v>
      </c>
      <c r="E253">
        <v>0.01</v>
      </c>
      <c r="F253">
        <v>0</v>
      </c>
    </row>
    <row r="254" spans="1:6" x14ac:dyDescent="0.35">
      <c r="A254" s="1" t="s">
        <v>586</v>
      </c>
      <c r="B254" s="1" t="s">
        <v>587</v>
      </c>
      <c r="C254" s="1" t="s">
        <v>136</v>
      </c>
      <c r="D254" s="1" t="s">
        <v>140</v>
      </c>
      <c r="E254">
        <v>0.01</v>
      </c>
      <c r="F254">
        <v>0</v>
      </c>
    </row>
    <row r="255" spans="1:6" x14ac:dyDescent="0.35">
      <c r="A255" s="1" t="s">
        <v>588</v>
      </c>
      <c r="B255" s="1" t="s">
        <v>589</v>
      </c>
      <c r="C255" s="1" t="s">
        <v>136</v>
      </c>
      <c r="D255" s="1" t="s">
        <v>204</v>
      </c>
      <c r="E255">
        <v>0.01</v>
      </c>
      <c r="F255">
        <v>0</v>
      </c>
    </row>
    <row r="256" spans="1:6" x14ac:dyDescent="0.35">
      <c r="A256" s="1" t="s">
        <v>590</v>
      </c>
      <c r="B256" s="1" t="s">
        <v>591</v>
      </c>
      <c r="C256" s="1" t="s">
        <v>160</v>
      </c>
      <c r="D256" s="1" t="s">
        <v>98</v>
      </c>
    </row>
    <row r="257" spans="1:6" x14ac:dyDescent="0.35">
      <c r="A257" s="1" t="s">
        <v>592</v>
      </c>
      <c r="B257" s="1" t="s">
        <v>593</v>
      </c>
      <c r="C257" s="1" t="s">
        <v>136</v>
      </c>
      <c r="D257" s="1" t="s">
        <v>140</v>
      </c>
      <c r="E257">
        <v>0.01</v>
      </c>
      <c r="F257">
        <v>0</v>
      </c>
    </row>
    <row r="258" spans="1:6" x14ac:dyDescent="0.35">
      <c r="A258" s="1" t="s">
        <v>594</v>
      </c>
      <c r="B258" s="1" t="s">
        <v>595</v>
      </c>
      <c r="C258" s="1" t="s">
        <v>136</v>
      </c>
      <c r="D258" s="1" t="s">
        <v>140</v>
      </c>
      <c r="E258">
        <v>0.01</v>
      </c>
      <c r="F258">
        <v>0</v>
      </c>
    </row>
    <row r="259" spans="1:6" x14ac:dyDescent="0.35">
      <c r="A259" s="1" t="s">
        <v>65</v>
      </c>
      <c r="B259" s="1" t="s">
        <v>596</v>
      </c>
      <c r="C259" s="1" t="s">
        <v>160</v>
      </c>
      <c r="D259" s="1" t="s">
        <v>98</v>
      </c>
    </row>
    <row r="260" spans="1:6" x14ac:dyDescent="0.35">
      <c r="A260" s="1" t="s">
        <v>597</v>
      </c>
      <c r="B260" s="1" t="s">
        <v>598</v>
      </c>
      <c r="C260" s="1" t="s">
        <v>160</v>
      </c>
      <c r="D260" s="1" t="s">
        <v>98</v>
      </c>
    </row>
    <row r="261" spans="1:6" x14ac:dyDescent="0.35">
      <c r="A261" s="1" t="s">
        <v>66</v>
      </c>
      <c r="B261" s="1" t="s">
        <v>599</v>
      </c>
      <c r="C261" s="1" t="s">
        <v>160</v>
      </c>
      <c r="D261" s="1" t="s">
        <v>98</v>
      </c>
    </row>
    <row r="262" spans="1:6" x14ac:dyDescent="0.35">
      <c r="A262" s="1" t="s">
        <v>600</v>
      </c>
      <c r="B262" s="1" t="s">
        <v>601</v>
      </c>
      <c r="C262" s="1" t="s">
        <v>160</v>
      </c>
      <c r="D262" s="1" t="s">
        <v>98</v>
      </c>
    </row>
    <row r="263" spans="1:6" x14ac:dyDescent="0.35">
      <c r="A263" s="1" t="s">
        <v>602</v>
      </c>
      <c r="B263" s="1" t="s">
        <v>603</v>
      </c>
      <c r="C263" s="1" t="s">
        <v>136</v>
      </c>
      <c r="D263" s="1" t="s">
        <v>204</v>
      </c>
      <c r="E263">
        <v>0.01</v>
      </c>
      <c r="F263">
        <v>10000</v>
      </c>
    </row>
    <row r="264" spans="1:6" x14ac:dyDescent="0.35">
      <c r="A264" s="1" t="s">
        <v>604</v>
      </c>
      <c r="B264" s="1" t="s">
        <v>605</v>
      </c>
      <c r="C264" s="1" t="s">
        <v>136</v>
      </c>
      <c r="D264" s="1" t="s">
        <v>140</v>
      </c>
      <c r="E264">
        <v>0.01</v>
      </c>
      <c r="F264">
        <v>32767</v>
      </c>
    </row>
    <row r="265" spans="1:6" x14ac:dyDescent="0.35">
      <c r="A265" s="1" t="s">
        <v>606</v>
      </c>
      <c r="B265" s="1" t="s">
        <v>607</v>
      </c>
      <c r="C265" s="1" t="s">
        <v>136</v>
      </c>
      <c r="D265" s="1" t="s">
        <v>140</v>
      </c>
      <c r="E265">
        <v>0.01</v>
      </c>
      <c r="F265">
        <v>32767</v>
      </c>
    </row>
    <row r="266" spans="1:6" x14ac:dyDescent="0.35">
      <c r="A266" s="1" t="s">
        <v>608</v>
      </c>
      <c r="B266" s="1" t="s">
        <v>609</v>
      </c>
      <c r="C266" s="1" t="s">
        <v>136</v>
      </c>
      <c r="D266" s="1" t="s">
        <v>140</v>
      </c>
      <c r="E266">
        <v>0.01</v>
      </c>
      <c r="F266">
        <v>2334</v>
      </c>
    </row>
    <row r="267" spans="1:6" x14ac:dyDescent="0.35">
      <c r="A267" s="1" t="s">
        <v>610</v>
      </c>
      <c r="B267" s="1" t="s">
        <v>611</v>
      </c>
      <c r="C267" s="1" t="s">
        <v>136</v>
      </c>
      <c r="D267" s="1" t="s">
        <v>140</v>
      </c>
      <c r="E267">
        <v>0.01</v>
      </c>
      <c r="F267">
        <v>0</v>
      </c>
    </row>
    <row r="268" spans="1:6" x14ac:dyDescent="0.35">
      <c r="A268" s="1" t="s">
        <v>612</v>
      </c>
      <c r="B268" s="1" t="s">
        <v>613</v>
      </c>
      <c r="C268" s="1" t="s">
        <v>136</v>
      </c>
      <c r="D268" s="1" t="s">
        <v>184</v>
      </c>
      <c r="E268">
        <v>1E-3</v>
      </c>
      <c r="F268">
        <v>0</v>
      </c>
    </row>
    <row r="269" spans="1:6" x14ac:dyDescent="0.35">
      <c r="A269" s="1" t="s">
        <v>614</v>
      </c>
      <c r="B269" s="1" t="s">
        <v>615</v>
      </c>
      <c r="C269" s="1" t="s">
        <v>136</v>
      </c>
      <c r="D269" s="1" t="s">
        <v>184</v>
      </c>
      <c r="E269">
        <v>1E-3</v>
      </c>
      <c r="F269">
        <v>0</v>
      </c>
    </row>
    <row r="270" spans="1:6" x14ac:dyDescent="0.35">
      <c r="A270" s="1" t="s">
        <v>616</v>
      </c>
      <c r="B270" s="1" t="s">
        <v>617</v>
      </c>
      <c r="C270" s="1" t="s">
        <v>160</v>
      </c>
      <c r="D270" s="1" t="s">
        <v>618</v>
      </c>
    </row>
    <row r="271" spans="1:6" x14ac:dyDescent="0.35">
      <c r="A271" s="1" t="s">
        <v>619</v>
      </c>
      <c r="B271" s="1" t="s">
        <v>620</v>
      </c>
      <c r="C271" s="1" t="s">
        <v>160</v>
      </c>
      <c r="D271" s="1" t="s">
        <v>98</v>
      </c>
    </row>
    <row r="272" spans="1:6" x14ac:dyDescent="0.35">
      <c r="A272" s="1" t="s">
        <v>621</v>
      </c>
      <c r="B272" s="1" t="s">
        <v>622</v>
      </c>
      <c r="C272" s="1" t="s">
        <v>97</v>
      </c>
      <c r="D272" s="1" t="s">
        <v>623</v>
      </c>
    </row>
    <row r="273" spans="1:6" x14ac:dyDescent="0.35">
      <c r="A273" s="1" t="s">
        <v>624</v>
      </c>
      <c r="B273" s="1" t="s">
        <v>625</v>
      </c>
      <c r="C273" s="1" t="s">
        <v>136</v>
      </c>
      <c r="D273" s="1" t="s">
        <v>140</v>
      </c>
      <c r="E273">
        <v>0.01</v>
      </c>
      <c r="F273">
        <v>0</v>
      </c>
    </row>
    <row r="274" spans="1:6" x14ac:dyDescent="0.35">
      <c r="A274" s="1" t="s">
        <v>626</v>
      </c>
      <c r="B274" s="1" t="s">
        <v>627</v>
      </c>
      <c r="C274" s="1" t="s">
        <v>160</v>
      </c>
      <c r="D274" s="1" t="s">
        <v>98</v>
      </c>
    </row>
    <row r="275" spans="1:6" x14ac:dyDescent="0.35">
      <c r="A275" s="1" t="s">
        <v>628</v>
      </c>
      <c r="B275" s="1" t="s">
        <v>629</v>
      </c>
      <c r="C275" s="1" t="s">
        <v>97</v>
      </c>
      <c r="D275" s="1" t="s">
        <v>245</v>
      </c>
    </row>
    <row r="276" spans="1:6" x14ac:dyDescent="0.35">
      <c r="A276" s="1" t="s">
        <v>630</v>
      </c>
      <c r="B276" s="1" t="s">
        <v>631</v>
      </c>
      <c r="C276" s="1" t="s">
        <v>136</v>
      </c>
      <c r="D276" s="1" t="s">
        <v>98</v>
      </c>
    </row>
    <row r="277" spans="1:6" x14ac:dyDescent="0.35">
      <c r="A277" s="1" t="s">
        <v>632</v>
      </c>
      <c r="B277" s="1" t="s">
        <v>633</v>
      </c>
      <c r="C277" s="1" t="s">
        <v>97</v>
      </c>
      <c r="D277" s="1" t="s">
        <v>98</v>
      </c>
    </row>
    <row r="278" spans="1:6" x14ac:dyDescent="0.35">
      <c r="A278" s="1" t="s">
        <v>634</v>
      </c>
      <c r="B278" s="1" t="s">
        <v>635</v>
      </c>
      <c r="C278" s="1" t="s">
        <v>160</v>
      </c>
      <c r="D278" s="1" t="s">
        <v>98</v>
      </c>
    </row>
    <row r="279" spans="1:6" x14ac:dyDescent="0.35">
      <c r="A279" s="1" t="s">
        <v>636</v>
      </c>
      <c r="B279" s="1" t="s">
        <v>637</v>
      </c>
      <c r="C279" s="1" t="s">
        <v>160</v>
      </c>
      <c r="D279" s="1" t="s">
        <v>98</v>
      </c>
    </row>
    <row r="280" spans="1:6" x14ac:dyDescent="0.35">
      <c r="A280" s="1" t="s">
        <v>638</v>
      </c>
      <c r="B280" s="1" t="s">
        <v>639</v>
      </c>
      <c r="C280" s="1" t="s">
        <v>136</v>
      </c>
      <c r="D280" s="1" t="s">
        <v>140</v>
      </c>
      <c r="E280">
        <v>0.01</v>
      </c>
      <c r="F280">
        <v>0</v>
      </c>
    </row>
    <row r="281" spans="1:6" x14ac:dyDescent="0.35">
      <c r="A281" s="1" t="s">
        <v>640</v>
      </c>
      <c r="B281" s="1" t="s">
        <v>641</v>
      </c>
      <c r="C281" s="1" t="s">
        <v>160</v>
      </c>
      <c r="D281" s="1" t="s">
        <v>98</v>
      </c>
    </row>
    <row r="282" spans="1:6" x14ac:dyDescent="0.35">
      <c r="A282" s="1" t="s">
        <v>4</v>
      </c>
      <c r="B282" s="1" t="s">
        <v>642</v>
      </c>
      <c r="C282" s="1" t="s">
        <v>97</v>
      </c>
      <c r="D282" s="1" t="s">
        <v>133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E3C0-CE5B-4DBA-8D2C-78D9DE630B37}">
  <dimension ref="A1:G116"/>
  <sheetViews>
    <sheetView tabSelected="1" workbookViewId="0">
      <selection activeCell="A99" sqref="A99"/>
    </sheetView>
  </sheetViews>
  <sheetFormatPr defaultRowHeight="14.5" x14ac:dyDescent="0.35"/>
  <cols>
    <col min="1" max="1" width="28.54296875" style="1" bestFit="1" customWidth="1"/>
    <col min="2" max="2" width="15.6328125" style="1" bestFit="1" customWidth="1"/>
    <col min="3" max="3" width="50.26953125" style="1" bestFit="1" customWidth="1"/>
    <col min="4" max="4" width="45.453125" bestFit="1" customWidth="1"/>
    <col min="5" max="5" width="27.81640625" bestFit="1" customWidth="1"/>
    <col min="6" max="6" width="48.1796875" style="1" bestFit="1" customWidth="1"/>
    <col min="7" max="16384" width="8.7265625" style="1"/>
  </cols>
  <sheetData>
    <row r="1" spans="1:7" x14ac:dyDescent="0.35">
      <c r="A1" s="1" t="s">
        <v>768</v>
      </c>
      <c r="C1" s="1" t="s">
        <v>767</v>
      </c>
      <c r="D1" t="s">
        <v>772</v>
      </c>
    </row>
    <row r="3" spans="1:7" s="2" customFormat="1" x14ac:dyDescent="0.35">
      <c r="A3" s="2" t="s">
        <v>752</v>
      </c>
      <c r="B3" s="2" t="s">
        <v>824</v>
      </c>
      <c r="C3" s="2" t="s">
        <v>769</v>
      </c>
      <c r="D3" s="3" t="s">
        <v>770</v>
      </c>
      <c r="E3" s="3" t="s">
        <v>771</v>
      </c>
      <c r="F3" s="2" t="s">
        <v>759</v>
      </c>
    </row>
    <row r="4" spans="1:7" x14ac:dyDescent="0.35">
      <c r="A4" s="1" t="s">
        <v>91</v>
      </c>
      <c r="B4" s="1" t="s">
        <v>98</v>
      </c>
      <c r="C4" s="1" t="s">
        <v>757</v>
      </c>
      <c r="D4" t="e">
        <f>VLOOKUP(A4,'HA integration codes'!$A$1:$B$282,2,FALSE)</f>
        <v>#N/A</v>
      </c>
      <c r="E4" t="e">
        <f>VLOOKUP(A4,'PLUGIN devices'!$A$2:$B$54,2,FALSE)</f>
        <v>#N/A</v>
      </c>
      <c r="G4"/>
    </row>
    <row r="5" spans="1:7" x14ac:dyDescent="0.35">
      <c r="A5" s="1" t="s">
        <v>84</v>
      </c>
      <c r="B5" s="1" t="s">
        <v>98</v>
      </c>
      <c r="C5" s="1" t="s">
        <v>757</v>
      </c>
      <c r="D5" t="str">
        <f>VLOOKUP(A5,'HA integration codes'!$A$1:$B$282,2,FALSE)</f>
        <v>status_9_errorCode</v>
      </c>
      <c r="E5" t="e">
        <f>VLOOKUP(A5,'PLUGIN devices'!$A$2:$B$54,2,FALSE)</f>
        <v>#N/A</v>
      </c>
    </row>
    <row r="6" spans="1:7" x14ac:dyDescent="0.35">
      <c r="A6" s="1" t="s">
        <v>26</v>
      </c>
      <c r="B6" s="1" t="s">
        <v>774</v>
      </c>
      <c r="C6" s="1" t="s">
        <v>658</v>
      </c>
      <c r="D6" t="str">
        <f>VLOOKUP(A6,'HA integration codes'!$A$1:$B$282,2,FALSE)</f>
        <v>CPUinfo_software_version</v>
      </c>
      <c r="E6" t="str">
        <f>VLOOKUP(A6,'PLUGIN devices'!$A$2:$B$54,2,FALSE)</f>
        <v>Software version</v>
      </c>
    </row>
    <row r="7" spans="1:7" x14ac:dyDescent="0.35">
      <c r="A7" s="1" t="s">
        <v>74</v>
      </c>
      <c r="B7" s="1" t="s">
        <v>822</v>
      </c>
      <c r="C7" s="1" t="s">
        <v>673</v>
      </c>
      <c r="D7" t="e">
        <f>VLOOKUP(A7,'HA integration codes'!$A$1:$B$282,2,FALSE)</f>
        <v>#N/A</v>
      </c>
      <c r="E7" t="e">
        <f>VLOOKUP(A7,'PLUGIN devices'!$A$2:$B$54,2,FALSE)</f>
        <v>#N/A</v>
      </c>
      <c r="F7" s="1" t="s">
        <v>829</v>
      </c>
    </row>
    <row r="8" spans="1:7" x14ac:dyDescent="0.35">
      <c r="A8" s="1" t="s">
        <v>75</v>
      </c>
      <c r="B8" s="1" t="s">
        <v>823</v>
      </c>
      <c r="C8" s="1" t="s">
        <v>674</v>
      </c>
      <c r="D8" t="e">
        <f>VLOOKUP(A8,'HA integration codes'!$A$1:$B$282,2,FALSE)</f>
        <v>#N/A</v>
      </c>
      <c r="E8" t="e">
        <f>VLOOKUP(A8,'PLUGIN devices'!$A$2:$B$54,2,FALSE)</f>
        <v>#N/A</v>
      </c>
    </row>
    <row r="9" spans="1:7" x14ac:dyDescent="0.35">
      <c r="A9" s="1" t="s">
        <v>81</v>
      </c>
      <c r="B9" s="1" t="s">
        <v>98</v>
      </c>
      <c r="C9" s="1" t="s">
        <v>757</v>
      </c>
      <c r="D9" t="e">
        <f>VLOOKUP(A9,'HA integration codes'!$A$1:$B$282,2,FALSE)</f>
        <v>#N/A</v>
      </c>
      <c r="E9" t="e">
        <f>VLOOKUP(A9,'PLUGIN devices'!$A$2:$B$54,2,FALSE)</f>
        <v>#N/A</v>
      </c>
      <c r="F9" s="1" t="s">
        <v>773</v>
      </c>
    </row>
    <row r="10" spans="1:7" x14ac:dyDescent="0.35">
      <c r="A10" s="1" t="s">
        <v>76</v>
      </c>
      <c r="B10" s="1" t="s">
        <v>98</v>
      </c>
      <c r="C10" s="1" t="s">
        <v>757</v>
      </c>
      <c r="D10" t="e">
        <f>VLOOKUP(A10,'HA integration codes'!$A$1:$B$282,2,FALSE)</f>
        <v>#N/A</v>
      </c>
      <c r="E10" t="e">
        <f>VLOOKUP(A10,'PLUGIN devices'!$A$2:$B$54,2,FALSE)</f>
        <v>#N/A</v>
      </c>
      <c r="F10" s="1" t="s">
        <v>773</v>
      </c>
    </row>
    <row r="11" spans="1:7" x14ac:dyDescent="0.35">
      <c r="A11" s="1" t="s">
        <v>87</v>
      </c>
      <c r="B11" s="1" t="s">
        <v>821</v>
      </c>
      <c r="C11" s="1" t="s">
        <v>672</v>
      </c>
      <c r="D11" t="e">
        <f>VLOOKUP(A11,'HA integration codes'!$A$1:$B$282,2,FALSE)</f>
        <v>#N/A</v>
      </c>
      <c r="E11" t="e">
        <f>VLOOKUP(A11,'PLUGIN devices'!$A$2:$B$54,2,FALSE)</f>
        <v>#N/A</v>
      </c>
      <c r="F11" s="1" t="s">
        <v>832</v>
      </c>
    </row>
    <row r="12" spans="1:7" x14ac:dyDescent="0.35">
      <c r="A12" s="1" t="s">
        <v>72</v>
      </c>
      <c r="B12" s="1" t="s">
        <v>98</v>
      </c>
      <c r="C12" s="1" t="s">
        <v>757</v>
      </c>
      <c r="D12" t="e">
        <f>VLOOKUP(A12,'HA integration codes'!$A$1:$B$282,2,FALSE)</f>
        <v>#N/A</v>
      </c>
      <c r="E12" t="e">
        <f>VLOOKUP(A12,'PLUGIN devices'!$A$2:$B$54,2,FALSE)</f>
        <v>#N/A</v>
      </c>
      <c r="F12" s="1" t="s">
        <v>773</v>
      </c>
    </row>
    <row r="13" spans="1:7" x14ac:dyDescent="0.35">
      <c r="A13" s="1" t="s">
        <v>73</v>
      </c>
      <c r="B13" s="1" t="s">
        <v>820</v>
      </c>
      <c r="C13" s="1" t="s">
        <v>671</v>
      </c>
      <c r="D13" t="e">
        <f>VLOOKUP(A13,'HA integration codes'!$A$1:$B$282,2,FALSE)</f>
        <v>#N/A</v>
      </c>
      <c r="E13" t="e">
        <f>VLOOKUP(A13,'PLUGIN devices'!$A$2:$B$54,2,FALSE)</f>
        <v>#N/A</v>
      </c>
    </row>
    <row r="14" spans="1:7" x14ac:dyDescent="0.35">
      <c r="A14" s="1" t="s">
        <v>88</v>
      </c>
      <c r="B14" s="1" t="s">
        <v>98</v>
      </c>
      <c r="C14" s="1" t="s">
        <v>757</v>
      </c>
      <c r="D14" t="str">
        <f>VLOOKUP(A14,'HA integration codes'!$A$1:$B$282,2,FALSE)</f>
        <v>status_S_energyThermalCoolingPrevDay</v>
      </c>
      <c r="E14" t="e">
        <f>VLOOKUP(A14,'PLUGIN devices'!$A$2:$B$54,2,FALSE)</f>
        <v>#N/A</v>
      </c>
    </row>
    <row r="15" spans="1:7" x14ac:dyDescent="0.35">
      <c r="A15" s="1" t="s">
        <v>93</v>
      </c>
      <c r="B15" s="1" t="s">
        <v>98</v>
      </c>
      <c r="C15" s="1" t="s">
        <v>757</v>
      </c>
      <c r="D15" t="str">
        <f>VLOOKUP(A15,'HA integration codes'!$A$1:$B$282,2,FALSE)</f>
        <v>status_S_copDhwPrevDay</v>
      </c>
      <c r="E15" t="e">
        <f>VLOOKUP(A15,'PLUGIN devices'!$A$2:$B$54,2,FALSE)</f>
        <v>#N/A</v>
      </c>
    </row>
    <row r="16" spans="1:7" x14ac:dyDescent="0.35">
      <c r="A16" s="1" t="s">
        <v>9</v>
      </c>
      <c r="B16" s="1" t="s">
        <v>788</v>
      </c>
      <c r="C16" s="1" t="s">
        <v>651</v>
      </c>
      <c r="D16" t="str">
        <f>VLOOKUP(A16,'HA integration codes'!$A$1:$B$282,2,FALSE)</f>
        <v>status_S_currentHpPowerThermal</v>
      </c>
      <c r="E16" t="str">
        <f>VLOOKUP(A16,'PLUGIN devices'!$A$2:$B$54,2,FALSE)</f>
        <v>HP energy generated</v>
      </c>
    </row>
    <row r="17" spans="1:5" x14ac:dyDescent="0.35">
      <c r="A17" s="1" t="s">
        <v>80</v>
      </c>
      <c r="B17" s="1" t="s">
        <v>98</v>
      </c>
      <c r="C17" s="1" t="s">
        <v>757</v>
      </c>
      <c r="D17" t="str">
        <f>VLOOKUP(A17,'HA integration codes'!$A$1:$B$282,2,FALSE)</f>
        <v>status_S_energyElectricCoolingPrevDay</v>
      </c>
      <c r="E17" t="e">
        <f>VLOOKUP(A17,'PLUGIN devices'!$A$2:$B$54,2,FALSE)</f>
        <v>#N/A</v>
      </c>
    </row>
    <row r="18" spans="1:5" x14ac:dyDescent="0.35">
      <c r="A18" s="1" t="s">
        <v>23</v>
      </c>
      <c r="B18" s="1" t="s">
        <v>789</v>
      </c>
      <c r="C18" s="1" t="s">
        <v>654</v>
      </c>
      <c r="D18" t="str">
        <f>VLOOKUP(A18,'HA integration codes'!$A$1:$B$282,2,FALSE)</f>
        <v>status_S_currentCop</v>
      </c>
      <c r="E18" t="str">
        <f>VLOOKUP(A18,'PLUGIN devices'!$A$2:$B$54,2,FALSE)</f>
        <v>COP</v>
      </c>
    </row>
    <row r="19" spans="1:5" x14ac:dyDescent="0.35">
      <c r="A19" s="1" t="s">
        <v>89</v>
      </c>
      <c r="B19" s="1" t="s">
        <v>98</v>
      </c>
      <c r="C19" s="1" t="s">
        <v>757</v>
      </c>
      <c r="D19" t="str">
        <f>VLOOKUP(A19,'HA integration codes'!$A$1:$B$282,2,FALSE)</f>
        <v>status_S_copCoolingPrevDay</v>
      </c>
      <c r="E19" t="e">
        <f>VLOOKUP(A19,'PLUGIN devices'!$A$2:$B$54,2,FALSE)</f>
        <v>#N/A</v>
      </c>
    </row>
    <row r="20" spans="1:5" x14ac:dyDescent="0.35">
      <c r="A20" s="1" t="s">
        <v>35</v>
      </c>
      <c r="B20" s="1" t="s">
        <v>793</v>
      </c>
      <c r="C20" s="1" t="s">
        <v>662</v>
      </c>
      <c r="D20" t="str">
        <f>VLOOKUP(A20,'HA integration codes'!$A$1:$B$282,2,FALSE)</f>
        <v>status_S_energyThermalBoilerPrevDay</v>
      </c>
      <c r="E20" t="e">
        <f>VLOOKUP(A20,'PLUGIN devices'!$A$2:$B$54,2,FALSE)</f>
        <v>#N/A</v>
      </c>
    </row>
    <row r="21" spans="1:5" x14ac:dyDescent="0.35">
      <c r="A21" s="1" t="s">
        <v>22</v>
      </c>
      <c r="B21" s="1" t="s">
        <v>788</v>
      </c>
      <c r="C21" s="1" t="s">
        <v>653</v>
      </c>
      <c r="D21" t="str">
        <f>VLOOKUP(A21,'HA integration codes'!$A$1:$B$282,2,FALSE)</f>
        <v>status_S_currentPowerThermal</v>
      </c>
      <c r="E21" t="e">
        <f>VLOOKUP(A21,'PLUGIN devices'!$A$2:$B$54,2,FALSE)</f>
        <v>#N/A</v>
      </c>
    </row>
    <row r="22" spans="1:5" x14ac:dyDescent="0.35">
      <c r="A22" s="1" t="s">
        <v>21</v>
      </c>
      <c r="B22" s="1" t="s">
        <v>98</v>
      </c>
      <c r="C22" s="1" t="s">
        <v>652</v>
      </c>
      <c r="D22" t="str">
        <f>VLOOKUP(A22,'HA integration codes'!$A$1:$B$282,2,FALSE)</f>
        <v>status_S_currentBoilerPowerThermal</v>
      </c>
      <c r="E22" t="str">
        <f>VLOOKUP(A22,'PLUGIN devices'!$A$2:$B$54,2,FALSE)</f>
        <v>Bolier enery generated</v>
      </c>
    </row>
    <row r="23" spans="1:5" x14ac:dyDescent="0.35">
      <c r="A23" s="1" t="s">
        <v>95</v>
      </c>
      <c r="B23" s="1" t="s">
        <v>98</v>
      </c>
      <c r="C23" s="1" t="s">
        <v>757</v>
      </c>
      <c r="D23" t="str">
        <f>VLOOKUP(A23,'HA integration codes'!$A$1:$B$282,2,FALSE)</f>
        <v>status_S_energyThermalDhwPrevDay</v>
      </c>
      <c r="E23" t="e">
        <f>VLOOKUP(A23,'PLUGIN devices'!$A$2:$B$54,2,FALSE)</f>
        <v>#N/A</v>
      </c>
    </row>
    <row r="24" spans="1:5" x14ac:dyDescent="0.35">
      <c r="A24" s="1" t="s">
        <v>34</v>
      </c>
      <c r="B24" s="1" t="s">
        <v>792</v>
      </c>
      <c r="C24" s="1" t="s">
        <v>659</v>
      </c>
      <c r="D24" t="str">
        <f>VLOOKUP(A24,'HA integration codes'!$A$1:$B$282,2,FALSE)</f>
        <v>status_S_energyElectricHeatingPrevDay</v>
      </c>
      <c r="E24" t="e">
        <f>VLOOKUP(A24,'PLUGIN devices'!$A$2:$B$54,2,FALSE)</f>
        <v>#N/A</v>
      </c>
    </row>
    <row r="25" spans="1:5" x14ac:dyDescent="0.35">
      <c r="A25" s="1" t="s">
        <v>32</v>
      </c>
      <c r="B25" s="1" t="s">
        <v>791</v>
      </c>
      <c r="C25" s="1" t="s">
        <v>660</v>
      </c>
      <c r="D25" t="str">
        <f>VLOOKUP(A25,'HA integration codes'!$A$1:$B$282,2,FALSE)</f>
        <v>status_S_energyThermalHeatingPrevDay</v>
      </c>
      <c r="E25" t="e">
        <f>VLOOKUP(A25,'PLUGIN devices'!$A$2:$B$54,2,FALSE)</f>
        <v>#N/A</v>
      </c>
    </row>
    <row r="26" spans="1:5" x14ac:dyDescent="0.35">
      <c r="A26" s="1" t="s">
        <v>10</v>
      </c>
      <c r="B26" s="1" t="s">
        <v>790</v>
      </c>
      <c r="C26" s="1" t="s">
        <v>655</v>
      </c>
      <c r="D26" t="str">
        <f>VLOOKUP(A26,'HA integration codes'!$A$1:$B$282,2,FALSE)</f>
        <v>status_S_currentPowerElectric</v>
      </c>
      <c r="E26" t="str">
        <f>VLOOKUP(A26,'PLUGIN devices'!$A$2:$B$54,2,FALSE)</f>
        <v>HP energy usage</v>
      </c>
    </row>
    <row r="27" spans="1:5" x14ac:dyDescent="0.35">
      <c r="A27" s="1" t="s">
        <v>33</v>
      </c>
      <c r="B27" s="1" t="s">
        <v>504</v>
      </c>
      <c r="C27" s="1" t="s">
        <v>661</v>
      </c>
      <c r="D27" t="str">
        <f>VLOOKUP(A27,'HA integration codes'!$A$1:$B$282,2,FALSE)</f>
        <v>status_S_copHeatingPrevDay</v>
      </c>
      <c r="E27" t="e">
        <f>VLOOKUP(A27,'PLUGIN devices'!$A$2:$B$54,2,FALSE)</f>
        <v>#N/A</v>
      </c>
    </row>
    <row r="28" spans="1:5" x14ac:dyDescent="0.35">
      <c r="A28" s="1" t="s">
        <v>82</v>
      </c>
      <c r="B28" s="1" t="s">
        <v>98</v>
      </c>
      <c r="C28" s="1" t="s">
        <v>757</v>
      </c>
      <c r="D28" t="str">
        <f>VLOOKUP(A28,'HA integration codes'!$A$1:$B$282,2,FALSE)</f>
        <v>status_S_energyElectricDhwPrevDay</v>
      </c>
      <c r="E28" t="e">
        <f>VLOOKUP(A28,'PLUGIN devices'!$A$2:$B$54,2,FALSE)</f>
        <v>#N/A</v>
      </c>
    </row>
    <row r="29" spans="1:5" x14ac:dyDescent="0.35">
      <c r="A29" s="1" t="s">
        <v>29</v>
      </c>
      <c r="B29" s="1" t="s">
        <v>98</v>
      </c>
      <c r="C29" s="1" t="s">
        <v>757</v>
      </c>
      <c r="D29" t="e">
        <f>VLOOKUP(A29,'HA integration codes'!$A$1:$B$282,2,FALSE)</f>
        <v>#N/A</v>
      </c>
      <c r="E29" t="e">
        <f>VLOOKUP(A29,'PLUGIN devices'!$A$2:$B$54,2,FALSE)</f>
        <v>#N/A</v>
      </c>
    </row>
    <row r="30" spans="1:5" x14ac:dyDescent="0.35">
      <c r="A30" s="1" t="s">
        <v>17</v>
      </c>
      <c r="B30" s="1" t="s">
        <v>98</v>
      </c>
      <c r="C30" s="1" t="s">
        <v>757</v>
      </c>
      <c r="D30" t="e">
        <f>VLOOKUP(A30,'HA integration codes'!$A$1:$B$282,2,FALSE)</f>
        <v>#N/A</v>
      </c>
      <c r="E30" t="e">
        <f>VLOOKUP(A30,'PLUGIN devices'!$A$2:$B$54,2,FALSE)</f>
        <v>#N/A</v>
      </c>
    </row>
    <row r="31" spans="1:5" x14ac:dyDescent="0.35">
      <c r="A31" s="1" t="s">
        <v>28</v>
      </c>
      <c r="B31" s="1" t="s">
        <v>787</v>
      </c>
      <c r="C31" s="1" t="s">
        <v>757</v>
      </c>
      <c r="D31" t="e">
        <f>VLOOKUP(A31,'HA integration codes'!$A$1:$B$282,2,FALSE)</f>
        <v>#N/A</v>
      </c>
      <c r="E31" t="e">
        <f>VLOOKUP(A31,'PLUGIN devices'!$A$2:$B$54,2,FALSE)</f>
        <v>#N/A</v>
      </c>
    </row>
    <row r="32" spans="1:5" x14ac:dyDescent="0.35">
      <c r="A32" s="1" t="s">
        <v>30</v>
      </c>
      <c r="B32" s="1" t="s">
        <v>98</v>
      </c>
      <c r="C32" s="1" t="s">
        <v>757</v>
      </c>
      <c r="D32" t="e">
        <f>VLOOKUP(A32,'HA integration codes'!$A$1:$B$282,2,FALSE)</f>
        <v>#N/A</v>
      </c>
      <c r="E32" t="e">
        <f>VLOOKUP(A32,'PLUGIN devices'!$A$2:$B$54,2,FALSE)</f>
        <v>#N/A</v>
      </c>
    </row>
    <row r="33" spans="1:5" x14ac:dyDescent="0.35">
      <c r="A33" s="1" t="s">
        <v>15</v>
      </c>
      <c r="B33" s="1" t="s">
        <v>98</v>
      </c>
      <c r="C33" s="1" t="s">
        <v>757</v>
      </c>
      <c r="D33" t="e">
        <f>VLOOKUP(A33,'HA integration codes'!$A$1:$B$282,2,FALSE)</f>
        <v>#N/A</v>
      </c>
      <c r="E33" t="e">
        <f>VLOOKUP(A33,'PLUGIN devices'!$A$2:$B$54,2,FALSE)</f>
        <v>#N/A</v>
      </c>
    </row>
    <row r="34" spans="1:5" x14ac:dyDescent="0.35">
      <c r="A34" s="1" t="s">
        <v>16</v>
      </c>
      <c r="B34" s="1" t="s">
        <v>755</v>
      </c>
      <c r="C34" s="1" t="s">
        <v>757</v>
      </c>
      <c r="D34" t="e">
        <f>VLOOKUP(A34,'HA integration codes'!$A$1:$B$282,2,FALSE)</f>
        <v>#N/A</v>
      </c>
      <c r="E34" t="e">
        <f>VLOOKUP(A34,'PLUGIN devices'!$A$2:$B$54,2,FALSE)</f>
        <v>#N/A</v>
      </c>
    </row>
    <row r="35" spans="1:5" x14ac:dyDescent="0.35">
      <c r="A35" s="1" t="s">
        <v>24</v>
      </c>
      <c r="B35" s="1" t="s">
        <v>787</v>
      </c>
      <c r="C35" s="1" t="s">
        <v>757</v>
      </c>
      <c r="D35" t="str">
        <f>VLOOKUP(A35,'HA integration codes'!$A$1:$B$282,2,FALSE)</f>
        <v>status_4_tTempAux2</v>
      </c>
      <c r="E35" t="e">
        <f>VLOOKUP(A35,'PLUGIN devices'!$A$2:$B$54,2,FALSE)</f>
        <v>#N/A</v>
      </c>
    </row>
    <row r="36" spans="1:5" x14ac:dyDescent="0.35">
      <c r="A36" s="1" t="s">
        <v>12</v>
      </c>
      <c r="B36" s="1" t="s">
        <v>787</v>
      </c>
      <c r="C36" s="1" t="s">
        <v>757</v>
      </c>
      <c r="D36" t="str">
        <f>VLOOKUP(A36,'HA integration codes'!$A$1:$B$282,2,FALSE)</f>
        <v>status_4_tTempAux1</v>
      </c>
      <c r="E36" t="e">
        <f>VLOOKUP(A36,'PLUGIN devices'!$A$2:$B$54,2,FALSE)</f>
        <v>#N/A</v>
      </c>
    </row>
    <row r="37" spans="1:5" x14ac:dyDescent="0.35">
      <c r="A37" s="1" t="s">
        <v>7</v>
      </c>
      <c r="B37" s="1" t="s">
        <v>784</v>
      </c>
      <c r="C37" s="1" t="s">
        <v>649</v>
      </c>
      <c r="D37" t="str">
        <f>VLOOKUP(A37,'HA integration codes'!$A$1:$B$282,2,FALSE)</f>
        <v>status_4_tSystemSupply</v>
      </c>
      <c r="E37" t="e">
        <f>VLOOKUP(A37,'PLUGIN devices'!$A$2:$B$54,2,FALSE)</f>
        <v>#N/A</v>
      </c>
    </row>
    <row r="38" spans="1:5" x14ac:dyDescent="0.35">
      <c r="A38" s="1" t="s">
        <v>20</v>
      </c>
      <c r="B38" s="1" t="s">
        <v>783</v>
      </c>
      <c r="C38" s="1" t="s">
        <v>680</v>
      </c>
      <c r="D38" t="str">
        <f>VLOOKUP(A38,'HA integration codes'!$A$1:$B$282,2,FALSE)</f>
        <v>status_4_tHpReturn</v>
      </c>
      <c r="E38" t="str">
        <f>VLOOKUP(A38,'PLUGIN devices'!$A$2:$B$54,2,FALSE)</f>
        <v>HP return temp</v>
      </c>
    </row>
    <row r="39" spans="1:5" x14ac:dyDescent="0.35">
      <c r="A39" s="1" t="s">
        <v>6</v>
      </c>
      <c r="B39" s="1" t="s">
        <v>782</v>
      </c>
      <c r="C39" s="1" t="s">
        <v>679</v>
      </c>
      <c r="D39" t="str">
        <f>VLOOKUP(A39,'HA integration codes'!$A$1:$B$282,2,FALSE)</f>
        <v>status_4_fSystem</v>
      </c>
      <c r="E39" t="str">
        <f>VLOOKUP(A39,'PLUGIN devices'!$A$2:$B$54,2,FALSE)</f>
        <v>HP CH flow</v>
      </c>
    </row>
    <row r="40" spans="1:5" x14ac:dyDescent="0.35">
      <c r="A40" s="1" t="s">
        <v>11</v>
      </c>
      <c r="B40" s="1" t="s">
        <v>786</v>
      </c>
      <c r="C40" s="1" t="s">
        <v>657</v>
      </c>
      <c r="D40" t="str">
        <f>VLOOKUP(A40,'HA integration codes'!$A$1:$B$282,2,FALSE)</f>
        <v>status_4_tOutdoor</v>
      </c>
      <c r="E40" t="str">
        <f>VLOOKUP(A40,'PLUGIN devices'!$A$2:$B$54,2,FALSE)</f>
        <v>Outside temp</v>
      </c>
    </row>
    <row r="41" spans="1:5" x14ac:dyDescent="0.35">
      <c r="A41" s="1" t="s">
        <v>52</v>
      </c>
      <c r="B41" s="1" t="s">
        <v>810</v>
      </c>
      <c r="C41" s="1" t="s">
        <v>681</v>
      </c>
      <c r="D41" t="str">
        <f>VLOOKUP(A41,'HA integration codes'!$A$1:$B$282,2,FALSE)</f>
        <v>status_4_tHpSupply</v>
      </c>
      <c r="E41" t="str">
        <f>VLOOKUP(A41,'PLUGIN devices'!$A$2:$B$54,2,FALSE)</f>
        <v xml:space="preserve">HP supply temp </v>
      </c>
    </row>
    <row r="42" spans="1:5" x14ac:dyDescent="0.35">
      <c r="A42" s="1" t="s">
        <v>8</v>
      </c>
      <c r="B42" s="1" t="s">
        <v>785</v>
      </c>
      <c r="C42" s="1" t="s">
        <v>650</v>
      </c>
      <c r="D42" t="str">
        <f>VLOOKUP(A42,'HA integration codes'!$A$1:$B$282,2,FALSE)</f>
        <v>status_4_tTempSet</v>
      </c>
      <c r="E42" t="str">
        <f>VLOOKUP(A42,'PLUGIN devices'!$A$2:$B$54,2,FALSE)</f>
        <v>HP setpoint temp</v>
      </c>
    </row>
    <row r="43" spans="1:5" x14ac:dyDescent="0.35">
      <c r="A43" s="1" t="s">
        <v>94</v>
      </c>
      <c r="B43" s="1" t="s">
        <v>98</v>
      </c>
      <c r="C43" s="1" t="s">
        <v>757</v>
      </c>
      <c r="D43" t="str">
        <f>VLOOKUP(A43,'HA integration codes'!$A$1:$B$282,2,FALSE)</f>
        <v>statistics_6_thermalEnergyDHW</v>
      </c>
      <c r="E43" t="e">
        <f>VLOOKUP(A43,'PLUGIN devices'!$A$2:$B$54,2,FALSE)</f>
        <v>#N/A</v>
      </c>
    </row>
    <row r="44" spans="1:5" x14ac:dyDescent="0.35">
      <c r="A44" s="1" t="s">
        <v>92</v>
      </c>
      <c r="B44" s="1" t="s">
        <v>98</v>
      </c>
      <c r="C44" s="1" t="s">
        <v>757</v>
      </c>
      <c r="D44" t="str">
        <f>VLOOKUP(A44,'HA integration codes'!$A$1:$B$282,2,FALSE)</f>
        <v>statistics_6_electricEnergyDHW</v>
      </c>
      <c r="E44" t="e">
        <f>VLOOKUP(A44,'PLUGIN devices'!$A$2:$B$54,2,FALSE)</f>
        <v>#N/A</v>
      </c>
    </row>
    <row r="45" spans="1:5" x14ac:dyDescent="0.35">
      <c r="A45" s="1" t="s">
        <v>77</v>
      </c>
      <c r="B45" s="1" t="s">
        <v>98</v>
      </c>
      <c r="C45" s="1" t="s">
        <v>757</v>
      </c>
      <c r="D45" t="str">
        <f>VLOOKUP(A45,'HA integration codes'!$A$1:$B$282,2,FALSE)</f>
        <v>statistics_6_electricEnergyCooling</v>
      </c>
      <c r="E45" t="e">
        <f>VLOOKUP(A45,'PLUGIN devices'!$A$2:$B$54,2,FALSE)</f>
        <v>#N/A</v>
      </c>
    </row>
    <row r="46" spans="1:5" x14ac:dyDescent="0.35">
      <c r="A46" s="1" t="s">
        <v>37</v>
      </c>
      <c r="B46" s="1" t="s">
        <v>795</v>
      </c>
      <c r="C46" s="1" t="s">
        <v>665</v>
      </c>
      <c r="D46" t="str">
        <f>VLOOKUP(A46,'HA integration codes'!$A$1:$B$282,2,FALSE)</f>
        <v>statistics_6_electricEnergyHeating</v>
      </c>
      <c r="E46" t="e">
        <f>VLOOKUP(A46,'PLUGIN devices'!$A$2:$B$54,2,FALSE)</f>
        <v>#N/A</v>
      </c>
    </row>
    <row r="47" spans="1:5" x14ac:dyDescent="0.35">
      <c r="A47" s="1" t="s">
        <v>38</v>
      </c>
      <c r="B47" s="1" t="s">
        <v>373</v>
      </c>
      <c r="C47" s="1" t="s">
        <v>663</v>
      </c>
      <c r="D47" t="str">
        <f>VLOOKUP(A47,'HA integration codes'!$A$1:$B$282,2,FALSE)</f>
        <v>statistics_6_thermalEnergyBoiler</v>
      </c>
      <c r="E47" t="e">
        <f>VLOOKUP(A47,'PLUGIN devices'!$A$2:$B$54,2,FALSE)</f>
        <v>#N/A</v>
      </c>
    </row>
    <row r="48" spans="1:5" x14ac:dyDescent="0.35">
      <c r="A48" s="1" t="s">
        <v>90</v>
      </c>
      <c r="B48" s="1" t="s">
        <v>98</v>
      </c>
      <c r="C48" s="1" t="s">
        <v>757</v>
      </c>
      <c r="D48" t="str">
        <f>VLOOKUP(A48,'HA integration codes'!$A$1:$B$282,2,FALSE)</f>
        <v>statistics_6_thermalEnergyCooling</v>
      </c>
      <c r="E48" t="e">
        <f>VLOOKUP(A48,'PLUGIN devices'!$A$2:$B$54,2,FALSE)</f>
        <v>#N/A</v>
      </c>
    </row>
    <row r="49" spans="1:6" x14ac:dyDescent="0.35">
      <c r="A49" s="1" t="s">
        <v>36</v>
      </c>
      <c r="B49" s="1" t="s">
        <v>794</v>
      </c>
      <c r="C49" s="1" t="s">
        <v>664</v>
      </c>
      <c r="D49" t="str">
        <f>VLOOKUP(A49,'HA integration codes'!$A$1:$B$282,2,FALSE)</f>
        <v>statistics_6_thermalEnergyHeating</v>
      </c>
      <c r="E49" t="e">
        <f>VLOOKUP(A49,'PLUGIN devices'!$A$2:$B$54,2,FALSE)</f>
        <v>#N/A</v>
      </c>
    </row>
    <row r="50" spans="1:6" x14ac:dyDescent="0.35">
      <c r="A50" s="1" t="s">
        <v>55</v>
      </c>
      <c r="B50" s="1" t="s">
        <v>786</v>
      </c>
      <c r="C50" s="1" t="s">
        <v>686</v>
      </c>
      <c r="D50" t="str">
        <f>VLOOKUP(A50,'HA integration codes'!$A$1:$B$282,2,FALSE)</f>
        <v>status_5_suctionTemperature</v>
      </c>
      <c r="E50" t="str">
        <f>VLOOKUP(A50,'PLUGIN devices'!$A$2:$B$54,2,FALSE)</f>
        <v>Suction line gas temp</v>
      </c>
    </row>
    <row r="51" spans="1:6" x14ac:dyDescent="0.35">
      <c r="A51" s="1" t="s">
        <v>83</v>
      </c>
      <c r="B51" s="1" t="s">
        <v>161</v>
      </c>
      <c r="C51" s="1" t="s">
        <v>647</v>
      </c>
      <c r="D51" t="str">
        <f>VLOOKUP(A51,'HA integration codes'!$A$1:$B$282,2,FALSE)</f>
        <v>status_5_workingMode</v>
      </c>
      <c r="E51" t="str">
        <f>VLOOKUP(A51,'PLUGIN devices'!$A$2:$B$54,2,FALSE)</f>
        <v>Operating Mode</v>
      </c>
    </row>
    <row r="52" spans="1:6" x14ac:dyDescent="0.35">
      <c r="A52" s="1" t="s">
        <v>51</v>
      </c>
      <c r="B52" s="1" t="s">
        <v>803</v>
      </c>
      <c r="C52" s="1" t="s">
        <v>684</v>
      </c>
      <c r="D52" t="str">
        <f>VLOOKUP(A52,'HA integration codes'!$A$1:$B$282,2,FALSE)</f>
        <v>status_5_suctionPressure</v>
      </c>
      <c r="E52" t="str">
        <f>VLOOKUP(A52,'PLUGIN devices'!$A$2:$B$54,2,FALSE)</f>
        <v>HP suction pressure</v>
      </c>
    </row>
    <row r="53" spans="1:6" x14ac:dyDescent="0.35">
      <c r="A53" s="1" t="s">
        <v>60</v>
      </c>
      <c r="B53" s="1" t="s">
        <v>807</v>
      </c>
      <c r="C53" s="1" t="s">
        <v>757</v>
      </c>
      <c r="D53" t="str">
        <f>VLOOKUP(A53,'HA integration codes'!$A$1:$B$282,2,FALSE)</f>
        <v>status_5_frequencySetpoint</v>
      </c>
      <c r="E53" t="e">
        <f>VLOOKUP(A53,'PLUGIN devices'!$A$2:$B$54,2,FALSE)</f>
        <v>#N/A</v>
      </c>
    </row>
    <row r="54" spans="1:6" x14ac:dyDescent="0.35">
      <c r="A54" s="1" t="s">
        <v>59</v>
      </c>
      <c r="B54" s="1" t="s">
        <v>806</v>
      </c>
      <c r="C54" s="1" t="s">
        <v>693</v>
      </c>
      <c r="D54" t="str">
        <f>VLOOKUP(A54,'HA integration codes'!$A$1:$B$282,2,FALSE)</f>
        <v>status_5_actualFrequency</v>
      </c>
      <c r="E54" t="str">
        <f>VLOOKUP(A54,'PLUGIN devices'!$A$2:$B$54,2,FALSE)</f>
        <v>Compressor frequency</v>
      </c>
    </row>
    <row r="55" spans="1:6" x14ac:dyDescent="0.35">
      <c r="A55" s="1" t="s">
        <v>50</v>
      </c>
      <c r="B55" s="1" t="s">
        <v>802</v>
      </c>
      <c r="C55" s="1" t="s">
        <v>683</v>
      </c>
      <c r="D55" t="str">
        <f>VLOOKUP(A55,'HA integration codes'!$A$1:$B$282,2,FALSE)</f>
        <v>status_5_exhaustPressure</v>
      </c>
      <c r="E55" t="str">
        <f>VLOOKUP(A55,'PLUGIN devices'!$A$2:$B$54,2,FALSE)</f>
        <v>HP discharge gas pressure</v>
      </c>
    </row>
    <row r="56" spans="1:6" x14ac:dyDescent="0.35">
      <c r="A56" s="1" t="s">
        <v>56</v>
      </c>
      <c r="B56" s="1" t="s">
        <v>805</v>
      </c>
      <c r="C56" s="1" t="s">
        <v>687</v>
      </c>
      <c r="D56" t="str">
        <f>VLOOKUP(A56,'HA integration codes'!$A$1:$B$282,2,FALSE)</f>
        <v>status_5_coilTemperature</v>
      </c>
      <c r="E56" t="str">
        <f>VLOOKUP(A56,'PLUGIN devices'!$A$2:$B$54,2,FALSE)</f>
        <v>Coil temp</v>
      </c>
    </row>
    <row r="57" spans="1:6" x14ac:dyDescent="0.35">
      <c r="A57" s="1" t="s">
        <v>63</v>
      </c>
      <c r="B57" s="1" t="s">
        <v>808</v>
      </c>
      <c r="C57" s="1" t="s">
        <v>760</v>
      </c>
      <c r="D57" t="str">
        <f>VLOOKUP(A57,'HA integration codes'!$A$1:$B$282,2,FALSE)</f>
        <v>status_5_digitalOut</v>
      </c>
      <c r="E57" t="e">
        <f>VLOOKUP(A57,'PLUGIN devices'!$A$2:$B$54,2,FALSE)</f>
        <v>#N/A</v>
      </c>
      <c r="F57" s="1" t="s">
        <v>761</v>
      </c>
    </row>
    <row r="58" spans="1:6" x14ac:dyDescent="0.35">
      <c r="A58" s="1" t="s">
        <v>54</v>
      </c>
      <c r="B58" s="1" t="s">
        <v>804</v>
      </c>
      <c r="C58" s="1" t="s">
        <v>685</v>
      </c>
      <c r="D58" t="str">
        <f>VLOOKUP(A58,'HA integration codes'!$A$1:$B$282,2,FALSE)</f>
        <v>status_5_exhaustTemperature</v>
      </c>
      <c r="E58" t="str">
        <f>VLOOKUP(A58,'PLUGIN devices'!$A$2:$B$54,2,FALSE)</f>
        <v>Exhaust gas temp</v>
      </c>
    </row>
    <row r="59" spans="1:6" x14ac:dyDescent="0.35">
      <c r="A59" s="1" t="s">
        <v>78</v>
      </c>
      <c r="B59" s="1" t="s">
        <v>98</v>
      </c>
      <c r="C59" s="1" t="s">
        <v>757</v>
      </c>
      <c r="D59" t="str">
        <f>VLOOKUP(A59,'HA integration codes'!$A$1:$B$282,2,FALSE)</f>
        <v>statistics_5_startCoolingCounter</v>
      </c>
      <c r="E59" t="e">
        <f>VLOOKUP(A59,'PLUGIN devices'!$A$2:$B$54,2,FALSE)</f>
        <v>#N/A</v>
      </c>
    </row>
    <row r="60" spans="1:6" x14ac:dyDescent="0.35">
      <c r="A60" s="1" t="s">
        <v>44</v>
      </c>
      <c r="B60" s="1" t="s">
        <v>245</v>
      </c>
      <c r="C60" s="1" t="s">
        <v>670</v>
      </c>
      <c r="D60" t="str">
        <f>VLOOKUP(A60,'HA integration codes'!$A$1:$B$282,2,FALSE)</f>
        <v>statistics_5_startDefrostCounter</v>
      </c>
      <c r="E60" t="str">
        <f>VLOOKUP(A60,'PLUGIN devices'!$A$2:$B$54,2,FALSE)</f>
        <v>HP defrost cycles</v>
      </c>
    </row>
    <row r="61" spans="1:6" x14ac:dyDescent="0.35">
      <c r="A61" s="1" t="s">
        <v>41</v>
      </c>
      <c r="B61" s="1" t="s">
        <v>98</v>
      </c>
      <c r="C61" s="1" t="s">
        <v>757</v>
      </c>
      <c r="D61" t="str">
        <f>VLOOKUP(A61,'HA integration codes'!$A$1:$B$282,2,FALSE)</f>
        <v>statistics_5_operationDhwHours</v>
      </c>
      <c r="E61" t="e">
        <f>VLOOKUP(A61,'PLUGIN devices'!$A$2:$B$54,2,FALSE)</f>
        <v>#N/A</v>
      </c>
    </row>
    <row r="62" spans="1:6" x14ac:dyDescent="0.35">
      <c r="A62" s="1" t="s">
        <v>79</v>
      </c>
      <c r="B62" s="1" t="s">
        <v>98</v>
      </c>
      <c r="C62" s="1" t="s">
        <v>757</v>
      </c>
      <c r="D62" t="str">
        <f>VLOOKUP(A62,'HA integration codes'!$A$1:$B$282,2,FALSE)</f>
        <v>statistics_5_operationCoolingHours</v>
      </c>
      <c r="E62" t="e">
        <f>VLOOKUP(A62,'PLUGIN devices'!$A$2:$B$54,2,FALSE)</f>
        <v>#N/A</v>
      </c>
    </row>
    <row r="63" spans="1:6" x14ac:dyDescent="0.35">
      <c r="A63" s="1" t="s">
        <v>45</v>
      </c>
      <c r="B63" s="1" t="s">
        <v>98</v>
      </c>
      <c r="C63" s="1" t="s">
        <v>757</v>
      </c>
      <c r="D63" t="str">
        <f>VLOOKUP(A63,'HA integration codes'!$A$1:$B$282,2,FALSE)</f>
        <v>statistics_5_startDhwCounter</v>
      </c>
      <c r="E63" t="str">
        <f>VLOOKUP(A63,'PLUGIN devices'!$A$2:$B$54,2,FALSE)</f>
        <v>Boiler DHW starts</v>
      </c>
    </row>
    <row r="64" spans="1:6" x14ac:dyDescent="0.35">
      <c r="A64" s="1" t="s">
        <v>39</v>
      </c>
      <c r="B64" s="1" t="s">
        <v>796</v>
      </c>
      <c r="C64" s="1" t="s">
        <v>666</v>
      </c>
      <c r="D64" t="str">
        <f>VLOOKUP(A64,'HA integration codes'!$A$1:$B$282,2,FALSE)</f>
        <v>statistics_5_startHeatingCounter</v>
      </c>
      <c r="E64" t="str">
        <f>VLOOKUP(A64,'PLUGIN devices'!$A$2:$B$54,2,FALSE)</f>
        <v>HP Compressor starts</v>
      </c>
    </row>
    <row r="65" spans="1:6" x14ac:dyDescent="0.35">
      <c r="A65" s="1" t="s">
        <v>40</v>
      </c>
      <c r="B65" s="1" t="s">
        <v>797</v>
      </c>
      <c r="C65" s="1" t="s">
        <v>667</v>
      </c>
      <c r="D65" t="str">
        <f>VLOOKUP(A65,'HA integration codes'!$A$1:$B$282,2,FALSE)</f>
        <v>statistics_5_operationHeatingHours</v>
      </c>
      <c r="E65" t="str">
        <f>VLOOKUP(A65,'PLUGIN devices'!$A$2:$B$54,2,FALSE)</f>
        <v>HP runtime</v>
      </c>
    </row>
    <row r="66" spans="1:6" x14ac:dyDescent="0.35">
      <c r="A66" s="1" t="s">
        <v>69</v>
      </c>
      <c r="B66" s="1" t="s">
        <v>817</v>
      </c>
      <c r="C66" s="1" t="s">
        <v>688</v>
      </c>
      <c r="D66" t="str">
        <f>VLOOKUP(A66,'HA integration codes'!$A$1:$B$282,2,FALSE)</f>
        <v>status_6_temperatureCondensor_refrigrerant_gas</v>
      </c>
      <c r="E66" t="str">
        <f>VLOOKUP(A66,'PLUGIN devices'!$A$2:$B$54,2,FALSE)</f>
        <v>Condensor gas temp</v>
      </c>
    </row>
    <row r="67" spans="1:6" x14ac:dyDescent="0.35">
      <c r="A67" s="1" t="s">
        <v>58</v>
      </c>
      <c r="B67" s="1" t="s">
        <v>812</v>
      </c>
      <c r="C67" s="1" t="s">
        <v>691</v>
      </c>
      <c r="D67" t="str">
        <f>VLOOKUP(A67,'HA integration codes'!$A$1:$B$282,2,FALSE)</f>
        <v>status_6_exhaustOverheat</v>
      </c>
      <c r="E67" t="str">
        <f>VLOOKUP(A67,'PLUGIN devices'!$A$2:$B$54,2,FALSE)</f>
        <v>Discharge overheat temp</v>
      </c>
    </row>
    <row r="68" spans="1:6" x14ac:dyDescent="0.35">
      <c r="A68" s="1" t="s">
        <v>68</v>
      </c>
      <c r="B68" s="1" t="s">
        <v>816</v>
      </c>
      <c r="C68" s="1" t="s">
        <v>692</v>
      </c>
      <c r="D68" t="str">
        <f>VLOOKUP(A68,'HA integration codes'!$A$1:$B$282,2,FALSE)</f>
        <v>status_6_temperatureSubcooling</v>
      </c>
      <c r="E68" t="str">
        <f>VLOOKUP(A68,'PLUGIN devices'!$A$2:$B$54,2,FALSE)</f>
        <v>Subcooling temp</v>
      </c>
    </row>
    <row r="69" spans="1:6" x14ac:dyDescent="0.35">
      <c r="A69" s="1" t="s">
        <v>62</v>
      </c>
      <c r="B69" s="1" t="s">
        <v>814</v>
      </c>
      <c r="C69" s="1" t="s">
        <v>757</v>
      </c>
      <c r="D69" t="str">
        <f>VLOOKUP(A69,'HA integration codes'!$A$1:$B$282,2,FALSE)</f>
        <v>status_6_fanspeedSetpoint</v>
      </c>
      <c r="E69" t="e">
        <f>VLOOKUP(A69,'PLUGIN devices'!$A$2:$B$54,2,FALSE)</f>
        <v>#N/A</v>
      </c>
    </row>
    <row r="70" spans="1:6" x14ac:dyDescent="0.35">
      <c r="A70" s="1" t="s">
        <v>64</v>
      </c>
      <c r="B70" s="1" t="s">
        <v>815</v>
      </c>
      <c r="C70" s="1" t="s">
        <v>695</v>
      </c>
      <c r="D70" t="str">
        <f>VLOOKUP(A70,'HA integration codes'!$A$1:$B$282,2,FALSE)</f>
        <v>status_6_EEVSteps</v>
      </c>
      <c r="E70" t="e">
        <f>VLOOKUP(A70,'PLUGIN devices'!$A$2:$B$54,2,FALSE)</f>
        <v>#N/A</v>
      </c>
    </row>
    <row r="71" spans="1:6" x14ac:dyDescent="0.35">
      <c r="A71" s="1" t="s">
        <v>61</v>
      </c>
      <c r="B71" s="1" t="s">
        <v>813</v>
      </c>
      <c r="C71" s="1" t="s">
        <v>694</v>
      </c>
      <c r="D71" t="str">
        <f>VLOOKUP(A71,'HA integration codes'!$A$1:$B$282,2,FALSE)</f>
        <v>status_6_actualFan1Speed</v>
      </c>
      <c r="E71" t="str">
        <f>VLOOKUP(A71,'PLUGIN devices'!$A$2:$B$54,2,FALSE)</f>
        <v>Fan speed</v>
      </c>
    </row>
    <row r="72" spans="1:6" x14ac:dyDescent="0.35">
      <c r="A72" s="1" t="s">
        <v>70</v>
      </c>
      <c r="B72" s="1" t="s">
        <v>818</v>
      </c>
      <c r="C72" s="1" t="s">
        <v>689</v>
      </c>
      <c r="D72" t="str">
        <f>VLOOKUP(A72,'HA integration codes'!$A$1:$B$282,2,FALSE)</f>
        <v>status_6_temperatureCondensor_refrigrerant_liquid</v>
      </c>
      <c r="E72" t="str">
        <f>VLOOKUP(A72,'PLUGIN devices'!$A$2:$B$54,2,FALSE)</f>
        <v>Condensor liquid temp</v>
      </c>
    </row>
    <row r="73" spans="1:6" x14ac:dyDescent="0.35">
      <c r="A73" s="1" t="s">
        <v>57</v>
      </c>
      <c r="B73" s="1" t="s">
        <v>805</v>
      </c>
      <c r="C73" s="1" t="s">
        <v>690</v>
      </c>
      <c r="D73" t="str">
        <f>VLOOKUP(A73,'HA integration codes'!$A$1:$B$282,2,FALSE)</f>
        <v>status_6_suctionOverheat</v>
      </c>
      <c r="E73" t="str">
        <f>VLOOKUP(A73,'PLUGIN devices'!$A$2:$B$54,2,FALSE)</f>
        <v>Suction line overheat temp</v>
      </c>
    </row>
    <row r="74" spans="1:6" x14ac:dyDescent="0.35">
      <c r="A74" s="1" t="s">
        <v>43</v>
      </c>
      <c r="B74" s="1" t="s">
        <v>275</v>
      </c>
      <c r="C74" s="1" t="s">
        <v>669</v>
      </c>
      <c r="D74" t="str">
        <f>VLOOKUP(A74,'HA integration codes'!$A$1:$B$282,2,FALSE)</f>
        <v>statistics_0_poweron_number</v>
      </c>
      <c r="E74" t="str">
        <f>VLOOKUP(A74,'PLUGIN devices'!$A$2:$B$54,2,FALSE)</f>
        <v>HP power cycles</v>
      </c>
    </row>
    <row r="75" spans="1:6" x14ac:dyDescent="0.35">
      <c r="A75" s="1" t="s">
        <v>42</v>
      </c>
      <c r="B75" s="1" t="s">
        <v>798</v>
      </c>
      <c r="C75" s="1" t="s">
        <v>668</v>
      </c>
      <c r="D75" t="str">
        <f>VLOOKUP(A75,'HA integration codes'!$A$1:$B$282,2,FALSE)</f>
        <v>statistics_0_poweron_hours</v>
      </c>
      <c r="E75" t="str">
        <f>VLOOKUP(A75,'PLUGIN devices'!$A$2:$B$54,2,FALSE)</f>
        <v>HP poweron</v>
      </c>
    </row>
    <row r="76" spans="1:6" x14ac:dyDescent="0.35">
      <c r="A76" s="1" t="s">
        <v>53</v>
      </c>
      <c r="B76" s="1" t="s">
        <v>811</v>
      </c>
      <c r="C76" s="1" t="s">
        <v>682</v>
      </c>
      <c r="D76" t="str">
        <f>VLOOKUP(A76,'HA integration codes'!$A$1:$B$282,2,FALSE)</f>
        <v>status_3_RequestedTemperature</v>
      </c>
      <c r="E76" t="e">
        <f>VLOOKUP(A76,'PLUGIN devices'!$A$2:$B$54,2,FALSE)</f>
        <v>#N/A</v>
      </c>
    </row>
    <row r="77" spans="1:6" x14ac:dyDescent="0.35">
      <c r="A77" s="1" t="s">
        <v>27</v>
      </c>
      <c r="B77" s="1" t="s">
        <v>405</v>
      </c>
      <c r="C77" s="1" t="s">
        <v>757</v>
      </c>
      <c r="D77" t="e">
        <f>VLOOKUP(A77,'HA integration codes'!$A$1:$B$282,2,FALSE)</f>
        <v>#N/A</v>
      </c>
      <c r="E77" t="e">
        <f>VLOOKUP(A77,'PLUGIN devices'!$A$2:$B$54,2,FALSE)</f>
        <v>#N/A</v>
      </c>
    </row>
    <row r="78" spans="1:6" x14ac:dyDescent="0.35">
      <c r="A78" s="1" t="s">
        <v>2</v>
      </c>
      <c r="B78" s="1" t="s">
        <v>779</v>
      </c>
      <c r="C78" s="1" t="s">
        <v>648</v>
      </c>
      <c r="D78" t="str">
        <f>VLOOKUP(A78,'HA integration codes'!$A$1:$B$282,2,FALSE)</f>
        <v>status_3_Flags</v>
      </c>
      <c r="E78" t="e">
        <f>VLOOKUP(A78,'PLUGIN devices'!$A$2:$B$54,2,FALSE)</f>
        <v>#N/A</v>
      </c>
      <c r="F78" s="1" t="s">
        <v>758</v>
      </c>
    </row>
    <row r="79" spans="1:6" x14ac:dyDescent="0.35">
      <c r="A79" s="1" t="s">
        <v>3</v>
      </c>
      <c r="B79" s="1" t="s">
        <v>780</v>
      </c>
      <c r="C79" s="1" t="s">
        <v>831</v>
      </c>
      <c r="D79" t="str">
        <f>VLOOKUP(A79,'HA integration codes'!$A$1:$B$282,2,FALSE)</f>
        <v>status_3_SystemIo</v>
      </c>
      <c r="E79" t="e">
        <f>VLOOKUP(A79,'PLUGIN devices'!$A$2:$B$54,2,FALSE)</f>
        <v>#N/A</v>
      </c>
    </row>
    <row r="80" spans="1:6" x14ac:dyDescent="0.35">
      <c r="A80" s="1" t="s">
        <v>14</v>
      </c>
      <c r="B80" s="1" t="s">
        <v>405</v>
      </c>
      <c r="C80" s="1" t="s">
        <v>757</v>
      </c>
      <c r="D80" t="e">
        <f>VLOOKUP(A80,'HA integration codes'!$A$1:$B$282,2,FALSE)</f>
        <v>#N/A</v>
      </c>
      <c r="E80" t="e">
        <f>VLOOKUP(A80,'PLUGIN devices'!$A$2:$B$54,2,FALSE)</f>
        <v>#N/A</v>
      </c>
    </row>
    <row r="81" spans="1:5" x14ac:dyDescent="0.35">
      <c r="A81" s="1" t="s">
        <v>18</v>
      </c>
      <c r="B81" s="1" t="s">
        <v>776</v>
      </c>
      <c r="C81" s="1" t="s">
        <v>698</v>
      </c>
      <c r="D81" t="str">
        <f>VLOOKUP(A81,'HA integration codes'!$A$1:$B$282,2,FALSE)</f>
        <v>status_1_roomtemperature_set_1</v>
      </c>
      <c r="E81" t="str">
        <f>VLOOKUP(A81,'PLUGIN devices'!$A$2:$B$54,2,FALSE)</f>
        <v>Target room temp</v>
      </c>
    </row>
    <row r="82" spans="1:5" x14ac:dyDescent="0.35">
      <c r="A82" s="1" t="s">
        <v>31</v>
      </c>
      <c r="B82" s="1" t="s">
        <v>405</v>
      </c>
      <c r="C82" s="1" t="s">
        <v>697</v>
      </c>
      <c r="D82" t="str">
        <f>VLOOKUP(A82,'HA integration codes'!$A$1:$B$282,2,FALSE)</f>
        <v>status_1_notification_code</v>
      </c>
      <c r="E82" t="e">
        <f>VLOOKUP(A82,'PLUGIN devices'!$A$2:$B$54,2,FALSE)</f>
        <v>#N/A</v>
      </c>
    </row>
    <row r="83" spans="1:5" x14ac:dyDescent="0.35">
      <c r="A83" s="1" t="s">
        <v>0</v>
      </c>
      <c r="B83" s="1" t="s">
        <v>775</v>
      </c>
      <c r="C83" s="1" t="s">
        <v>656</v>
      </c>
      <c r="D83" t="str">
        <f>VLOOKUP(A83,'HA integration codes'!$A$1:$B$282,2,FALSE)</f>
        <v>status_1_roomtemperature_1</v>
      </c>
      <c r="E83" t="str">
        <f>VLOOKUP(A83,'PLUGIN devices'!$A$2:$B$54,2,FALSE)</f>
        <v>Room temp</v>
      </c>
    </row>
    <row r="84" spans="1:5" x14ac:dyDescent="0.35">
      <c r="A84" s="1" t="s">
        <v>1</v>
      </c>
      <c r="B84" s="1" t="s">
        <v>405</v>
      </c>
      <c r="C84" s="1" t="s">
        <v>696</v>
      </c>
      <c r="D84" t="str">
        <f>VLOOKUP(A84,'HA integration codes'!$A$1:$B$282,2,FALSE)</f>
        <v>status_0_lockout_code</v>
      </c>
      <c r="E84" t="e">
        <f>VLOOKUP(A84,'PLUGIN devices'!$A$2:$B$54,2,FALSE)</f>
        <v>#N/A</v>
      </c>
    </row>
    <row r="85" spans="1:5" x14ac:dyDescent="0.35">
      <c r="A85" s="1" t="s">
        <v>86</v>
      </c>
      <c r="B85" s="1" t="s">
        <v>787</v>
      </c>
      <c r="C85" s="1" t="s">
        <v>704</v>
      </c>
      <c r="D85" t="str">
        <f>VLOOKUP(A85,'HA integration codes'!$A$1:$B$282,2,FALSE)</f>
        <v>status_0_temp_set</v>
      </c>
      <c r="E85" t="str">
        <f>VLOOKUP(A85,'PLUGIN devices'!$A$2:$B$54,2,FALSE)</f>
        <v>Boiler CH setpoint temp</v>
      </c>
    </row>
    <row r="86" spans="1:5" x14ac:dyDescent="0.35">
      <c r="A86" s="1" t="s">
        <v>19</v>
      </c>
      <c r="B86" s="1" t="s">
        <v>777</v>
      </c>
      <c r="C86" s="1" t="s">
        <v>678</v>
      </c>
      <c r="D86" t="str">
        <f>VLOOKUP(A86,'HA integration codes'!$A$1:$B$282,2,FALSE)</f>
        <v>status_0_heatdemand_status</v>
      </c>
      <c r="E86" t="str">
        <f>VLOOKUP(A86,'PLUGIN devices'!$A$2:$B$54,2,FALSE)</f>
        <v>Device Status</v>
      </c>
    </row>
    <row r="87" spans="1:5" x14ac:dyDescent="0.35">
      <c r="A87" s="1" t="s">
        <v>13</v>
      </c>
      <c r="B87" s="1" t="s">
        <v>506</v>
      </c>
      <c r="C87" s="1" t="s">
        <v>646</v>
      </c>
      <c r="D87" t="str">
        <f>VLOOKUP(A87,'HA integration codes'!$A$1:$B$282,2,FALSE)</f>
        <v>status_0_burner_status</v>
      </c>
      <c r="E87" t="e">
        <f>VLOOKUP(A87,'PLUGIN devices'!$A$2:$B$54,2,FALSE)</f>
        <v>#N/A</v>
      </c>
    </row>
    <row r="88" spans="1:5" x14ac:dyDescent="0.35">
      <c r="A88" s="1" t="s">
        <v>85</v>
      </c>
      <c r="B88" s="1" t="s">
        <v>787</v>
      </c>
      <c r="C88" s="1" t="s">
        <v>702</v>
      </c>
      <c r="D88" t="str">
        <f>VLOOKUP(A88,'HA integration codes'!$A$1:$B$282,2,FALSE)</f>
        <v>status_0_temp_return</v>
      </c>
      <c r="E88" t="str">
        <f>VLOOKUP(A88,'PLUGIN devices'!$A$2:$B$54,2,FALSE)</f>
        <v>Boiler CH return temp</v>
      </c>
    </row>
    <row r="89" spans="1:5" x14ac:dyDescent="0.35">
      <c r="A89" s="1" t="s">
        <v>5</v>
      </c>
      <c r="B89" s="1" t="s">
        <v>778</v>
      </c>
      <c r="C89" s="1" t="s">
        <v>701</v>
      </c>
      <c r="D89" t="str">
        <f>VLOOKUP(A89,'HA integration codes'!$A$1:$B$282,2,FALSE)</f>
        <v>status_0_water_pressure</v>
      </c>
      <c r="E89" t="str">
        <f>VLOOKUP(A89,'PLUGIN devices'!$A$2:$B$54,2,FALSE)</f>
        <v>CH water pressure</v>
      </c>
    </row>
    <row r="90" spans="1:5" x14ac:dyDescent="0.35">
      <c r="A90" s="1" t="s">
        <v>71</v>
      </c>
      <c r="B90" s="1" t="s">
        <v>809</v>
      </c>
      <c r="C90" s="1" t="s">
        <v>703</v>
      </c>
      <c r="D90" t="str">
        <f>VLOOKUP(A90,'HA integration codes'!$A$1:$B$282,2,FALSE)</f>
        <v>status_0_temp_supply</v>
      </c>
      <c r="E90" t="str">
        <f>VLOOKUP(A90,'PLUGIN devices'!$A$2:$B$54,2,FALSE)</f>
        <v>Boiler temp</v>
      </c>
    </row>
    <row r="91" spans="1:5" x14ac:dyDescent="0.35">
      <c r="A91" s="1" t="s">
        <v>25</v>
      </c>
      <c r="B91" s="1" t="s">
        <v>98</v>
      </c>
      <c r="C91" s="1" t="s">
        <v>705</v>
      </c>
      <c r="D91" t="str">
        <f>VLOOKUP(A91,'HA integration codes'!$A$1:$B$282,2,FALSE)</f>
        <v>boiler_status_1_from_boiler_ot_oem_faultcode</v>
      </c>
      <c r="E91" t="e">
        <f>VLOOKUP(A91,'PLUGIN devices'!$A$2:$B$54,2,FALSE)</f>
        <v>#N/A</v>
      </c>
    </row>
    <row r="92" spans="1:5" x14ac:dyDescent="0.35">
      <c r="A92" s="1" t="s">
        <v>67</v>
      </c>
      <c r="B92" s="1" t="s">
        <v>787</v>
      </c>
      <c r="C92" s="1" t="s">
        <v>700</v>
      </c>
      <c r="D92" t="str">
        <f>VLOOKUP(A92,'HA integration codes'!$A$1:$B$282,2,FALSE)</f>
        <v>boiler_status_1_from_boiler_ot_modulation_level</v>
      </c>
      <c r="E92" t="str">
        <f>VLOOKUP(A92,'PLUGIN devices'!$A$2:$B$54,2,FALSE)</f>
        <v>Boiler modulation level</v>
      </c>
    </row>
    <row r="93" spans="1:5" x14ac:dyDescent="0.35">
      <c r="A93" s="1" t="s">
        <v>46</v>
      </c>
      <c r="B93" s="1" t="s">
        <v>799</v>
      </c>
      <c r="C93" s="1" t="s">
        <v>675</v>
      </c>
      <c r="D93" t="str">
        <f>VLOOKUP(A93,'HA integration codes'!$A$1:$B$282,2,FALSE)</f>
        <v>boiler_status_2_from_boiler_ot_burner_starts</v>
      </c>
      <c r="E93" t="str">
        <f>VLOOKUP(A93,'PLUGIN devices'!$A$2:$B$54,2,FALSE)</f>
        <v>Boiler starts</v>
      </c>
    </row>
    <row r="94" spans="1:5" x14ac:dyDescent="0.35">
      <c r="A94" s="1" t="s">
        <v>49</v>
      </c>
      <c r="B94" s="1" t="s">
        <v>801</v>
      </c>
      <c r="C94" s="1" t="s">
        <v>677</v>
      </c>
      <c r="D94" t="str">
        <f>VLOOKUP(A94,'HA integration codes'!$A$1:$B$282,2,FALSE)</f>
        <v>boiler_status_2_from_boiler_ot_flame_loss</v>
      </c>
      <c r="E94" t="str">
        <f>VLOOKUP(A94,'PLUGIN devices'!$A$2:$B$54,2,FALSE)</f>
        <v>Boiler flame loss count</v>
      </c>
    </row>
    <row r="95" spans="1:5" x14ac:dyDescent="0.35">
      <c r="A95" s="1" t="s">
        <v>48</v>
      </c>
      <c r="B95" s="1" t="s">
        <v>98</v>
      </c>
      <c r="C95" s="1" t="s">
        <v>756</v>
      </c>
      <c r="D95" t="str">
        <f>VLOOKUP(A95,'HA integration codes'!$A$1:$B$282,2,FALSE)</f>
        <v>boiler_status_2_from_boiler_ot_dhw_hours</v>
      </c>
      <c r="E95" t="str">
        <f>VLOOKUP(A95,'PLUGIN devices'!$A$2:$B$54,2,FALSE)</f>
        <v>Boiler DHW runtime</v>
      </c>
    </row>
    <row r="96" spans="1:5" x14ac:dyDescent="0.35">
      <c r="A96" s="1" t="s">
        <v>47</v>
      </c>
      <c r="B96" s="1" t="s">
        <v>800</v>
      </c>
      <c r="C96" s="1" t="s">
        <v>676</v>
      </c>
      <c r="D96" t="str">
        <f>VLOOKUP(A96,'HA integration codes'!$A$1:$B$282,2,FALSE)</f>
        <v>boiler_status_2_from_boiler_ot_ch_hours</v>
      </c>
      <c r="E96" t="str">
        <f>VLOOKUP(A96,'PLUGIN devices'!$A$2:$B$54,2,FALSE)</f>
        <v>Boiler CH runtime</v>
      </c>
    </row>
    <row r="97" spans="1:5" x14ac:dyDescent="0.35">
      <c r="A97" s="1" t="s">
        <v>65</v>
      </c>
      <c r="B97" s="1" t="s">
        <v>819</v>
      </c>
      <c r="C97" s="1" t="s">
        <v>757</v>
      </c>
      <c r="D97" t="str">
        <f>VLOOKUP(A97,'HA integration codes'!$A$1:$B$282,2,FALSE)</f>
        <v>boiler_control_boiler_control_flags</v>
      </c>
      <c r="E97" t="e">
        <f>VLOOKUP(A97,'PLUGIN devices'!$A$2:$B$54,2,FALSE)</f>
        <v>#N/A</v>
      </c>
    </row>
    <row r="98" spans="1:5" x14ac:dyDescent="0.35">
      <c r="A98" s="1" t="s">
        <v>66</v>
      </c>
      <c r="B98" s="1" t="s">
        <v>98</v>
      </c>
      <c r="C98" s="1" t="s">
        <v>699</v>
      </c>
      <c r="D98" t="str">
        <f>VLOOKUP(A98,'HA integration codes'!$A$1:$B$282,2,FALSE)</f>
        <v>boiler_control_boiler_flame_state</v>
      </c>
      <c r="E98" t="e">
        <f>VLOOKUP(A98,'PLUGIN devices'!$A$2:$B$54,2,FALSE)</f>
        <v>#N/A</v>
      </c>
    </row>
    <row r="99" spans="1:5" x14ac:dyDescent="0.35">
      <c r="A99" s="1" t="s">
        <v>4</v>
      </c>
      <c r="B99" s="1" t="s">
        <v>781</v>
      </c>
      <c r="C99" s="1" t="s">
        <v>841</v>
      </c>
      <c r="D99" t="str">
        <f>VLOOKUP(A99,'HA integration codes'!$A$1:$B$282,2,FALSE)</f>
        <v>bivalent_service_flags</v>
      </c>
      <c r="E99" t="str">
        <f>VLOOKUP(A99,'PLUGIN devices'!$A$2:$B$54,2,FALSE)</f>
        <v>Heat demand Boiler</v>
      </c>
    </row>
    <row r="100" spans="1:5" x14ac:dyDescent="0.35">
      <c r="B100"/>
    </row>
    <row r="101" spans="1:5" x14ac:dyDescent="0.35">
      <c r="B101"/>
    </row>
    <row r="102" spans="1:5" x14ac:dyDescent="0.35">
      <c r="B102"/>
    </row>
    <row r="103" spans="1:5" x14ac:dyDescent="0.35">
      <c r="B103"/>
    </row>
    <row r="104" spans="1:5" x14ac:dyDescent="0.35">
      <c r="B104"/>
    </row>
    <row r="105" spans="1:5" x14ac:dyDescent="0.35">
      <c r="B105"/>
    </row>
    <row r="106" spans="1:5" x14ac:dyDescent="0.35">
      <c r="B106"/>
    </row>
    <row r="107" spans="1:5" x14ac:dyDescent="0.35">
      <c r="B107"/>
    </row>
    <row r="108" spans="1:5" x14ac:dyDescent="0.35">
      <c r="B108"/>
    </row>
    <row r="109" spans="1:5" x14ac:dyDescent="0.35">
      <c r="B109"/>
    </row>
    <row r="110" spans="1:5" x14ac:dyDescent="0.35">
      <c r="B110"/>
    </row>
    <row r="111" spans="1:5" x14ac:dyDescent="0.35">
      <c r="B111"/>
    </row>
    <row r="112" spans="1:5" x14ac:dyDescent="0.35">
      <c r="B112"/>
    </row>
    <row r="113" spans="2:5" x14ac:dyDescent="0.35">
      <c r="B113"/>
    </row>
    <row r="114" spans="2:5" x14ac:dyDescent="0.35">
      <c r="B114"/>
    </row>
    <row r="115" spans="2:5" x14ac:dyDescent="0.35">
      <c r="E115" s="1"/>
    </row>
    <row r="116" spans="2:5" x14ac:dyDescent="0.35">
      <c r="E116" s="1"/>
    </row>
  </sheetData>
  <autoFilter ref="A3:F102" xr:uid="{C4AEE3C0-CE5B-4DBA-8D2C-78D9DE630B37}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ACA2-60AE-4983-96AB-654C65A1B769}">
  <dimension ref="A1:D54"/>
  <sheetViews>
    <sheetView topLeftCell="A31" workbookViewId="0">
      <selection activeCell="D37" sqref="D37"/>
    </sheetView>
  </sheetViews>
  <sheetFormatPr defaultRowHeight="14.5" x14ac:dyDescent="0.35"/>
  <cols>
    <col min="1" max="1" width="10.36328125" style="1" bestFit="1" customWidth="1"/>
    <col min="2" max="2" width="23.36328125" style="1" bestFit="1" customWidth="1"/>
    <col min="3" max="3" width="47.1796875" bestFit="1" customWidth="1"/>
    <col min="4" max="4" width="70.1796875" bestFit="1" customWidth="1"/>
  </cols>
  <sheetData>
    <row r="1" spans="1:4" x14ac:dyDescent="0.35">
      <c r="A1" s="2" t="s">
        <v>753</v>
      </c>
      <c r="B1" s="2" t="s">
        <v>643</v>
      </c>
      <c r="C1" s="3" t="s">
        <v>754</v>
      </c>
      <c r="D1" s="2" t="s">
        <v>762</v>
      </c>
    </row>
    <row r="2" spans="1:4" x14ac:dyDescent="0.35">
      <c r="A2" t="s">
        <v>26</v>
      </c>
      <c r="B2" s="1" t="s">
        <v>706</v>
      </c>
      <c r="C2" t="str">
        <f>VLOOKUP(A2,'XTEND screens'!$A$4:$C$106,3,FALSE)</f>
        <v>Firmware version</v>
      </c>
    </row>
    <row r="3" spans="1:4" x14ac:dyDescent="0.35">
      <c r="A3" t="s">
        <v>23</v>
      </c>
      <c r="B3" s="1" t="s">
        <v>707</v>
      </c>
      <c r="C3" t="str">
        <f>VLOOKUP(A3,'XTEND screens'!$A$4:$C$106,3,FALSE)</f>
        <v>Power, COP</v>
      </c>
      <c r="D3" s="1"/>
    </row>
    <row r="4" spans="1:4" x14ac:dyDescent="0.35">
      <c r="A4" t="s">
        <v>9</v>
      </c>
      <c r="B4" s="1" t="s">
        <v>645</v>
      </c>
      <c r="C4" t="str">
        <f>VLOOKUP(A4,'XTEND screens'!$A$4:$C$106,3,FALSE)</f>
        <v>Power, Heat pump</v>
      </c>
      <c r="D4" s="1" t="s">
        <v>833</v>
      </c>
    </row>
    <row r="5" spans="1:4" x14ac:dyDescent="0.35">
      <c r="A5" s="5" t="s">
        <v>21</v>
      </c>
      <c r="B5" s="1" t="s">
        <v>828</v>
      </c>
      <c r="C5" t="str">
        <f>VLOOKUP(A5,'XTEND screens'!$A$4:$C$106,3,FALSE)</f>
        <v>Power, Boiler</v>
      </c>
      <c r="D5" s="1"/>
    </row>
    <row r="6" spans="1:4" x14ac:dyDescent="0.35">
      <c r="A6" t="s">
        <v>10</v>
      </c>
      <c r="B6" s="1" t="s">
        <v>644</v>
      </c>
      <c r="C6" t="str">
        <f>VLOOKUP(A6,'XTEND screens'!$A$4:$C$106,3,FALSE)</f>
        <v>Power, Retrieved</v>
      </c>
      <c r="D6" s="1"/>
    </row>
    <row r="7" spans="1:4" x14ac:dyDescent="0.35">
      <c r="A7" s="4" t="s">
        <v>85</v>
      </c>
      <c r="B7" s="1" t="s">
        <v>708</v>
      </c>
      <c r="C7" t="str">
        <f>VLOOKUP(A7,'XTEND screens'!$A$4:$C$106,3,FALSE)</f>
        <v>Boiler, CH Water, Return</v>
      </c>
      <c r="D7" s="1" t="s">
        <v>834</v>
      </c>
    </row>
    <row r="8" spans="1:4" x14ac:dyDescent="0.35">
      <c r="A8" s="5" t="s">
        <v>209</v>
      </c>
      <c r="B8" s="1" t="s">
        <v>709</v>
      </c>
      <c r="C8" t="e">
        <f>VLOOKUP(A8,'XTEND screens'!$A$4:$C$106,3,FALSE)</f>
        <v>#N/A</v>
      </c>
      <c r="D8" s="1" t="s">
        <v>835</v>
      </c>
    </row>
    <row r="9" spans="1:4" x14ac:dyDescent="0.35">
      <c r="A9" t="s">
        <v>20</v>
      </c>
      <c r="B9" s="1" t="s">
        <v>710</v>
      </c>
      <c r="C9" t="str">
        <f>VLOOKUP(A9,'XTEND screens'!$A$4:$C$106,3,FALSE)</f>
        <v>Heat Pump, CH water, Return</v>
      </c>
      <c r="D9" s="1"/>
    </row>
    <row r="10" spans="1:4" x14ac:dyDescent="0.35">
      <c r="A10" t="s">
        <v>6</v>
      </c>
      <c r="B10" s="1" t="s">
        <v>711</v>
      </c>
      <c r="C10" t="str">
        <f>VLOOKUP(A10,'XTEND screens'!$A$4:$C$106,3,FALSE)</f>
        <v>Heat Pump, CH water, Flow</v>
      </c>
      <c r="D10" s="1"/>
    </row>
    <row r="11" spans="1:4" x14ac:dyDescent="0.35">
      <c r="A11" t="s">
        <v>220</v>
      </c>
      <c r="B11" s="1" t="s">
        <v>712</v>
      </c>
      <c r="C11" t="e">
        <f>VLOOKUP(A11,'XTEND screens'!$A$4:$C$106,3,FALSE)</f>
        <v>#N/A</v>
      </c>
      <c r="D11" s="1" t="s">
        <v>764</v>
      </c>
    </row>
    <row r="12" spans="1:4" x14ac:dyDescent="0.35">
      <c r="A12" t="s">
        <v>52</v>
      </c>
      <c r="B12" s="1" t="s">
        <v>713</v>
      </c>
      <c r="C12" t="str">
        <f>VLOOKUP(A12,'XTEND screens'!$A$4:$C$106,3,FALSE)</f>
        <v>Heat Pump, CH water, Supply</v>
      </c>
      <c r="D12" s="1"/>
    </row>
    <row r="13" spans="1:4" x14ac:dyDescent="0.35">
      <c r="A13" t="s">
        <v>8</v>
      </c>
      <c r="B13" s="1" t="s">
        <v>714</v>
      </c>
      <c r="C13" t="str">
        <f>VLOOKUP(A13,'XTEND screens'!$A$4:$C$106,3,FALSE)</f>
        <v>CH water, Setpoint</v>
      </c>
      <c r="D13" s="1"/>
    </row>
    <row r="14" spans="1:4" x14ac:dyDescent="0.35">
      <c r="A14" t="s">
        <v>55</v>
      </c>
      <c r="B14" s="1" t="s">
        <v>715</v>
      </c>
      <c r="C14" t="str">
        <f>VLOOKUP(A14,'XTEND screens'!$A$4:$C$106,3,FALSE)</f>
        <v>Heat Pump, Refrigeration, Suction line gas temperature</v>
      </c>
      <c r="D14" s="1"/>
    </row>
    <row r="15" spans="1:4" x14ac:dyDescent="0.35">
      <c r="A15" s="5" t="s">
        <v>11</v>
      </c>
      <c r="B15" s="1" t="s">
        <v>716</v>
      </c>
      <c r="C15" t="str">
        <f>VLOOKUP(A15,'XTEND screens'!$A$4:$C$106,3,FALSE)</f>
        <v>Temperatures, Outside</v>
      </c>
      <c r="D15" s="1" t="s">
        <v>836</v>
      </c>
    </row>
    <row r="16" spans="1:4" x14ac:dyDescent="0.35">
      <c r="A16" t="s">
        <v>83</v>
      </c>
      <c r="B16" s="1" t="s">
        <v>840</v>
      </c>
      <c r="C16" t="str">
        <f>VLOOKUP(A16,'XTEND screens'!$A$4:$C$106,3,FALSE)</f>
        <v>Status, Operating Mode</v>
      </c>
      <c r="D16" s="1" t="s">
        <v>763</v>
      </c>
    </row>
    <row r="17" spans="1:4" x14ac:dyDescent="0.35">
      <c r="A17" t="s">
        <v>51</v>
      </c>
      <c r="B17" s="1" t="s">
        <v>717</v>
      </c>
      <c r="C17" t="str">
        <f>VLOOKUP(A17,'XTEND screens'!$A$4:$C$106,3,FALSE)</f>
        <v>Heat Pump, Refrigeration, Suction gas pressure</v>
      </c>
      <c r="D17" s="1"/>
    </row>
    <row r="18" spans="1:4" x14ac:dyDescent="0.35">
      <c r="A18" t="s">
        <v>254</v>
      </c>
      <c r="B18" s="1" t="s">
        <v>718</v>
      </c>
      <c r="C18" t="e">
        <f>VLOOKUP(A18,'XTEND screens'!$A$4:$C$106,3,FALSE)</f>
        <v>#N/A</v>
      </c>
      <c r="D18" s="1" t="s">
        <v>764</v>
      </c>
    </row>
    <row r="19" spans="1:4" x14ac:dyDescent="0.35">
      <c r="A19" t="s">
        <v>59</v>
      </c>
      <c r="B19" s="1" t="s">
        <v>719</v>
      </c>
      <c r="C19" t="str">
        <f>VLOOKUP(A19,'XTEND screens'!$A$4:$C$106,3,FALSE)</f>
        <v>Heat Pump, Compressor Frequency</v>
      </c>
      <c r="D19" s="1"/>
    </row>
    <row r="20" spans="1:4" x14ac:dyDescent="0.35">
      <c r="A20" t="s">
        <v>50</v>
      </c>
      <c r="B20" s="1" t="s">
        <v>720</v>
      </c>
      <c r="C20" t="str">
        <f>VLOOKUP(A20,'XTEND screens'!$A$4:$C$106,3,FALSE)</f>
        <v>Heat Pump, Refrigeration, Discharge gas pressure</v>
      </c>
      <c r="D20" s="1"/>
    </row>
    <row r="21" spans="1:4" x14ac:dyDescent="0.35">
      <c r="A21" t="s">
        <v>56</v>
      </c>
      <c r="B21" s="1" t="s">
        <v>721</v>
      </c>
      <c r="C21" t="str">
        <f>VLOOKUP(A21,'XTEND screens'!$A$4:$C$106,3,FALSE)</f>
        <v>Heat Pump, Refrigeration, Evaporator Temperature</v>
      </c>
      <c r="D21" s="1"/>
    </row>
    <row r="22" spans="1:4" x14ac:dyDescent="0.35">
      <c r="A22" t="s">
        <v>54</v>
      </c>
      <c r="B22" s="1" t="s">
        <v>722</v>
      </c>
      <c r="C22" t="str">
        <f>VLOOKUP(A22,'XTEND screens'!$A$4:$C$106,3,FALSE)</f>
        <v>Heat Pump, Refrigeration, Exhaust gas temperature</v>
      </c>
      <c r="D22" s="1"/>
    </row>
    <row r="23" spans="1:4" x14ac:dyDescent="0.35">
      <c r="A23" t="s">
        <v>44</v>
      </c>
      <c r="B23" s="1" t="s">
        <v>723</v>
      </c>
      <c r="C23" t="str">
        <f>VLOOKUP(A23,'XTEND screens'!$A$4:$C$106,3,FALSE)</f>
        <v>Heat Pump, Defrost Cycles</v>
      </c>
      <c r="D23" s="1"/>
    </row>
    <row r="24" spans="1:4" x14ac:dyDescent="0.35">
      <c r="A24" t="s">
        <v>45</v>
      </c>
      <c r="B24" s="1" t="s">
        <v>724</v>
      </c>
      <c r="C24" t="str">
        <f>VLOOKUP(A24,'XTEND screens'!$A$4:$C$106,3,FALSE)</f>
        <v>x</v>
      </c>
      <c r="D24" s="1" t="s">
        <v>837</v>
      </c>
    </row>
    <row r="25" spans="1:4" x14ac:dyDescent="0.35">
      <c r="A25" t="s">
        <v>39</v>
      </c>
      <c r="B25" s="1" t="s">
        <v>725</v>
      </c>
      <c r="C25" t="str">
        <f>VLOOKUP(A25,'XTEND screens'!$A$4:$C$106,3,FALSE)</f>
        <v>Heat Pump, Compressor Starts</v>
      </c>
      <c r="D25" s="1"/>
    </row>
    <row r="26" spans="1:4" x14ac:dyDescent="0.35">
      <c r="A26" t="s">
        <v>40</v>
      </c>
      <c r="B26" s="1" t="s">
        <v>726</v>
      </c>
      <c r="C26" t="str">
        <f>VLOOKUP(A26,'XTEND screens'!$A$4:$C$106,3,FALSE)</f>
        <v>Heat Pump, Runtime</v>
      </c>
      <c r="D26" s="1"/>
    </row>
    <row r="27" spans="1:4" x14ac:dyDescent="0.35">
      <c r="A27" t="s">
        <v>69</v>
      </c>
      <c r="B27" s="1" t="s">
        <v>727</v>
      </c>
      <c r="C27" t="str">
        <f>VLOOKUP(A27,'XTEND screens'!$A$4:$C$106,3,FALSE)</f>
        <v>Heat Pump, Refrigeration, T condensor gas</v>
      </c>
      <c r="D27" s="1"/>
    </row>
    <row r="28" spans="1:4" x14ac:dyDescent="0.35">
      <c r="A28" t="s">
        <v>58</v>
      </c>
      <c r="B28" s="1" t="s">
        <v>728</v>
      </c>
      <c r="C28" t="str">
        <f>VLOOKUP(A28,'XTEND screens'!$A$4:$C$106,3,FALSE)</f>
        <v>Heat Pump, Refrigeration, Discharge overheat</v>
      </c>
      <c r="D28" s="1"/>
    </row>
    <row r="29" spans="1:4" x14ac:dyDescent="0.35">
      <c r="A29" t="s">
        <v>68</v>
      </c>
      <c r="B29" s="1" t="s">
        <v>729</v>
      </c>
      <c r="C29" t="str">
        <f>VLOOKUP(A29,'XTEND screens'!$A$4:$C$106,3,FALSE)</f>
        <v>Heat Pump, Refrigeration, subcooling</v>
      </c>
      <c r="D29" s="1"/>
    </row>
    <row r="30" spans="1:4" x14ac:dyDescent="0.35">
      <c r="A30" t="s">
        <v>61</v>
      </c>
      <c r="B30" s="1" t="s">
        <v>730</v>
      </c>
      <c r="C30" t="str">
        <f>VLOOKUP(A30,'XTEND screens'!$A$4:$C$106,3,FALSE)</f>
        <v>Heat pump, Fan Speed</v>
      </c>
      <c r="D30" s="1"/>
    </row>
    <row r="31" spans="1:4" x14ac:dyDescent="0.35">
      <c r="A31" t="s">
        <v>70</v>
      </c>
      <c r="B31" s="1" t="s">
        <v>731</v>
      </c>
      <c r="C31" t="str">
        <f>VLOOKUP(A31,'XTEND screens'!$A$4:$C$106,3,FALSE)</f>
        <v>Heat Pump, Refrigeration, T condensor liquid</v>
      </c>
      <c r="D31" s="1"/>
    </row>
    <row r="32" spans="1:4" x14ac:dyDescent="0.35">
      <c r="A32" t="s">
        <v>57</v>
      </c>
      <c r="B32" s="1" t="s">
        <v>732</v>
      </c>
      <c r="C32" t="str">
        <f>VLOOKUP(A32,'XTEND screens'!$A$4:$C$106,3,FALSE)</f>
        <v>Heat Pump, Refrigeration, Suction line overheat</v>
      </c>
      <c r="D32" s="1"/>
    </row>
    <row r="33" spans="1:4" x14ac:dyDescent="0.35">
      <c r="A33" t="s">
        <v>363</v>
      </c>
      <c r="B33" s="1" t="s">
        <v>733</v>
      </c>
      <c r="C33" t="e">
        <f>VLOOKUP(A33,'XTEND screens'!$A$4:$C$106,3,FALSE)</f>
        <v>#N/A</v>
      </c>
      <c r="D33" s="1" t="s">
        <v>764</v>
      </c>
    </row>
    <row r="34" spans="1:4" x14ac:dyDescent="0.35">
      <c r="A34" t="s">
        <v>43</v>
      </c>
      <c r="B34" s="1" t="s">
        <v>734</v>
      </c>
      <c r="C34" t="str">
        <f>VLOOKUP(A34,'XTEND screens'!$A$4:$C$106,3,FALSE)</f>
        <v>Heat Pump, Power Cycles</v>
      </c>
      <c r="D34" s="1"/>
    </row>
    <row r="35" spans="1:4" x14ac:dyDescent="0.35">
      <c r="A35" t="s">
        <v>42</v>
      </c>
      <c r="B35" s="1" t="s">
        <v>735</v>
      </c>
      <c r="C35" t="str">
        <f>VLOOKUP(A35,'XTEND screens'!$A$4:$C$106,3,FALSE)</f>
        <v>Heat Pump, Hours on Power</v>
      </c>
      <c r="D35" s="1"/>
    </row>
    <row r="36" spans="1:4" x14ac:dyDescent="0.35">
      <c r="A36" t="s">
        <v>435</v>
      </c>
      <c r="B36" s="1" t="s">
        <v>842</v>
      </c>
      <c r="C36" t="e">
        <f>VLOOKUP(A36,'XTEND screens'!$A$4:$C$106,3,FALSE)</f>
        <v>#N/A</v>
      </c>
      <c r="D36" s="1" t="s">
        <v>843</v>
      </c>
    </row>
    <row r="37" spans="1:4" x14ac:dyDescent="0.35">
      <c r="A37" t="s">
        <v>442</v>
      </c>
      <c r="B37" s="1" t="s">
        <v>736</v>
      </c>
      <c r="C37" t="e">
        <f>VLOOKUP(A37,'XTEND screens'!$A$4:$C$106,3,FALSE)</f>
        <v>#N/A</v>
      </c>
      <c r="D37" s="1" t="s">
        <v>764</v>
      </c>
    </row>
    <row r="38" spans="1:4" x14ac:dyDescent="0.35">
      <c r="A38" t="s">
        <v>18</v>
      </c>
      <c r="B38" s="1" t="s">
        <v>737</v>
      </c>
      <c r="C38" t="str">
        <f>VLOOKUP(A38,'XTEND screens'!$A$4:$C$106,3,FALSE)</f>
        <v>Temperatures, Target/Setpoint</v>
      </c>
      <c r="D38" s="1"/>
    </row>
    <row r="39" spans="1:4" x14ac:dyDescent="0.35">
      <c r="A39" t="s">
        <v>0</v>
      </c>
      <c r="B39" s="1" t="s">
        <v>738</v>
      </c>
      <c r="C39" t="str">
        <f>VLOOKUP(A39,'XTEND screens'!$A$4:$C$106,3,FALSE)</f>
        <v>Temperatures, Room</v>
      </c>
      <c r="D39" s="1"/>
    </row>
    <row r="40" spans="1:4" x14ac:dyDescent="0.35">
      <c r="A40" t="s">
        <v>19</v>
      </c>
      <c r="B40" s="1" t="s">
        <v>839</v>
      </c>
      <c r="C40" t="str">
        <f>VLOOKUP(A40,'XTEND screens'!$A$4:$C$106,3,FALSE)</f>
        <v>Heat Pump, Device Status</v>
      </c>
      <c r="D40" s="1" t="s">
        <v>826</v>
      </c>
    </row>
    <row r="41" spans="1:4" x14ac:dyDescent="0.35">
      <c r="A41" t="s">
        <v>71</v>
      </c>
      <c r="B41" s="1" t="s">
        <v>739</v>
      </c>
      <c r="C41" t="str">
        <f>VLOOKUP(A41,'XTEND screens'!$A$4:$C$106,3,FALSE)</f>
        <v>Boiler, CH Water, Supply</v>
      </c>
      <c r="D41" s="1"/>
    </row>
    <row r="42" spans="1:4" x14ac:dyDescent="0.35">
      <c r="A42" t="s">
        <v>531</v>
      </c>
      <c r="B42" s="1" t="s">
        <v>740</v>
      </c>
      <c r="C42" t="e">
        <f>VLOOKUP(A42,'XTEND screens'!$A$4:$C$106,3,FALSE)</f>
        <v>#N/A</v>
      </c>
      <c r="D42" s="1" t="s">
        <v>764</v>
      </c>
    </row>
    <row r="43" spans="1:4" x14ac:dyDescent="0.35">
      <c r="A43" s="5" t="s">
        <v>5</v>
      </c>
      <c r="B43" s="1" t="s">
        <v>741</v>
      </c>
      <c r="C43" t="str">
        <f>VLOOKUP(A43,'XTEND screens'!$A$4:$C$106,3,FALSE)</f>
        <v>Heat Pump/Boiler, CH water, Pressure</v>
      </c>
      <c r="D43" s="1" t="s">
        <v>838</v>
      </c>
    </row>
    <row r="44" spans="1:4" x14ac:dyDescent="0.35">
      <c r="A44" t="s">
        <v>543</v>
      </c>
      <c r="B44" s="1" t="s">
        <v>742</v>
      </c>
      <c r="C44" t="e">
        <f>VLOOKUP(A44,'XTEND screens'!$A$4:$C$106,3,FALSE)</f>
        <v>#N/A</v>
      </c>
      <c r="D44" s="1" t="s">
        <v>764</v>
      </c>
    </row>
    <row r="45" spans="1:4" x14ac:dyDescent="0.35">
      <c r="A45" t="s">
        <v>67</v>
      </c>
      <c r="B45" s="1" t="s">
        <v>743</v>
      </c>
      <c r="C45" t="str">
        <f>VLOOKUP(A45,'XTEND screens'!$A$4:$C$106,3,FALSE)</f>
        <v>Boiler, Modulation Level</v>
      </c>
      <c r="D45" s="1"/>
    </row>
    <row r="46" spans="1:4" x14ac:dyDescent="0.35">
      <c r="A46" t="s">
        <v>46</v>
      </c>
      <c r="B46" s="1" t="s">
        <v>744</v>
      </c>
      <c r="C46" t="str">
        <f>VLOOKUP(A46,'XTEND screens'!$A$4:$C$106,3,FALSE)</f>
        <v>Boiler, Boiler Starts</v>
      </c>
      <c r="D46" s="1"/>
    </row>
    <row r="47" spans="1:4" x14ac:dyDescent="0.35">
      <c r="A47" t="s">
        <v>49</v>
      </c>
      <c r="B47" s="1" t="s">
        <v>745</v>
      </c>
      <c r="C47" t="str">
        <f>VLOOKUP(A47,'XTEND screens'!$A$4:$C$106,3,FALSE)</f>
        <v>Boiler, Flame loss</v>
      </c>
      <c r="D47" s="1"/>
    </row>
    <row r="48" spans="1:4" x14ac:dyDescent="0.35">
      <c r="A48" t="s">
        <v>48</v>
      </c>
      <c r="B48" s="1" t="s">
        <v>746</v>
      </c>
      <c r="C48" t="str">
        <f>VLOOKUP(A48,'XTEND screens'!$A$4:$C$106,3,FALSE)</f>
        <v xml:space="preserve">Boiler, Domestic Hot Water runtime </v>
      </c>
      <c r="D48" s="1" t="s">
        <v>765</v>
      </c>
    </row>
    <row r="49" spans="1:4" x14ac:dyDescent="0.35">
      <c r="A49" t="s">
        <v>566</v>
      </c>
      <c r="B49" s="1" t="s">
        <v>747</v>
      </c>
      <c r="C49" t="e">
        <f>VLOOKUP(A49,'XTEND screens'!$A$4:$C$106,3,FALSE)</f>
        <v>#N/A</v>
      </c>
      <c r="D49" s="1" t="s">
        <v>766</v>
      </c>
    </row>
    <row r="50" spans="1:4" x14ac:dyDescent="0.35">
      <c r="A50" s="5" t="s">
        <v>86</v>
      </c>
      <c r="B50" s="1" t="s">
        <v>748</v>
      </c>
      <c r="C50" t="str">
        <f>VLOOKUP(A50,'XTEND screens'!$A$4:$C$106,3,FALSE)</f>
        <v>Boiler, CH Water, Setpoint</v>
      </c>
      <c r="D50" s="1" t="s">
        <v>827</v>
      </c>
    </row>
    <row r="51" spans="1:4" x14ac:dyDescent="0.35">
      <c r="A51" t="s">
        <v>574</v>
      </c>
      <c r="B51" s="1" t="s">
        <v>749</v>
      </c>
      <c r="C51" t="e">
        <f>VLOOKUP(A51,'XTEND screens'!$A$4:$C$106,3,FALSE)</f>
        <v>#N/A</v>
      </c>
      <c r="D51" s="1" t="s">
        <v>766</v>
      </c>
    </row>
    <row r="52" spans="1:4" x14ac:dyDescent="0.35">
      <c r="A52" t="s">
        <v>579</v>
      </c>
      <c r="B52" s="1" t="s">
        <v>750</v>
      </c>
      <c r="C52" t="e">
        <f>VLOOKUP(A52,'XTEND screens'!$A$4:$C$106,3,FALSE)</f>
        <v>#N/A</v>
      </c>
      <c r="D52" s="1" t="s">
        <v>766</v>
      </c>
    </row>
    <row r="53" spans="1:4" x14ac:dyDescent="0.35">
      <c r="A53" t="s">
        <v>47</v>
      </c>
      <c r="B53" s="1" t="s">
        <v>751</v>
      </c>
      <c r="C53" t="str">
        <f>VLOOKUP(A53,'XTEND screens'!$A$4:$C$106,3,FALSE)</f>
        <v>Boiler, Runtime CH</v>
      </c>
      <c r="D53" s="1"/>
    </row>
    <row r="54" spans="1:4" x14ac:dyDescent="0.35">
      <c r="A54" s="1" t="s">
        <v>4</v>
      </c>
      <c r="B54" s="1" t="s">
        <v>825</v>
      </c>
      <c r="C54" t="str">
        <f>VLOOKUP(A54,'XTEND screens'!$A$4:$C$106,3,FALSE)</f>
        <v>Boiler, Heat Demand</v>
      </c>
      <c r="D54" s="1" t="s">
        <v>830</v>
      </c>
    </row>
  </sheetData>
  <sortState xmlns:xlrd2="http://schemas.microsoft.com/office/spreadsheetml/2017/richdata2" ref="A1:B82">
    <sortCondition ref="A1:A8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 integration codes</vt:lpstr>
      <vt:lpstr>XTEND screens</vt:lpstr>
      <vt:lpstr>PLUGIN 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2025-11-03T20:50:59Z</dcterms:created>
  <dcterms:modified xsi:type="dcterms:W3CDTF">2025-11-05T08:32:48Z</dcterms:modified>
</cp:coreProperties>
</file>